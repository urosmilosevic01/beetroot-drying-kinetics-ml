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3256" windowHeight="13176"/>
  </bookViews>
  <sheets>
    <sheet name="Sheet1" sheetId="1" r:id="rId1"/>
    <sheet name="Sheet2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2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5"/>
  <c r="AM47" i="1" l="1"/>
  <c r="AM50"/>
  <c r="AM51"/>
  <c r="AM52"/>
  <c r="AH46" l="1"/>
  <c r="AH47"/>
  <c r="AH48"/>
  <c r="AH35"/>
  <c r="AH36"/>
  <c r="AH37"/>
  <c r="AH38"/>
  <c r="AH39"/>
  <c r="AH40"/>
  <c r="AH41"/>
  <c r="AH42"/>
  <c r="AH43"/>
  <c r="AH44"/>
  <c r="AH45"/>
  <c r="AH20"/>
  <c r="AH13"/>
  <c r="AC36"/>
  <c r="AC37"/>
  <c r="AC38"/>
  <c r="AC39"/>
  <c r="AC40"/>
  <c r="AC41"/>
  <c r="AC42"/>
  <c r="AC43"/>
  <c r="AC44"/>
  <c r="AC13"/>
  <c r="X34" l="1"/>
  <c r="X35"/>
  <c r="X36"/>
  <c r="X37"/>
  <c r="X38"/>
  <c r="X39"/>
  <c r="AM49"/>
  <c r="AM46"/>
  <c r="AM45"/>
  <c r="AM44"/>
  <c r="AM43"/>
  <c r="AM42"/>
  <c r="AM41"/>
  <c r="AM40"/>
  <c r="AM39"/>
  <c r="AM38"/>
  <c r="AM37"/>
  <c r="AM36"/>
  <c r="AM35"/>
  <c r="AC35"/>
  <c r="AM34"/>
  <c r="AH34"/>
  <c r="AC34"/>
  <c r="AM33"/>
  <c r="AH33"/>
  <c r="AC33"/>
  <c r="X33"/>
  <c r="AM32"/>
  <c r="AH32"/>
  <c r="AC32"/>
  <c r="X32"/>
  <c r="AM31"/>
  <c r="AH31"/>
  <c r="AC31"/>
  <c r="X31"/>
  <c r="AM30"/>
  <c r="AH30"/>
  <c r="AC30"/>
  <c r="X30"/>
  <c r="AM29"/>
  <c r="AH29"/>
  <c r="AC29"/>
  <c r="X29"/>
  <c r="AM28"/>
  <c r="AH28"/>
  <c r="AC28"/>
  <c r="X28"/>
  <c r="AM27"/>
  <c r="AH27"/>
  <c r="AC27"/>
  <c r="X27"/>
  <c r="AM26"/>
  <c r="AH26"/>
  <c r="AC26"/>
  <c r="X26"/>
  <c r="AM25"/>
  <c r="AH25"/>
  <c r="AC25"/>
  <c r="X25"/>
  <c r="AM24"/>
  <c r="AH24"/>
  <c r="AC24"/>
  <c r="X24"/>
  <c r="AM23"/>
  <c r="AH23"/>
  <c r="AC23"/>
  <c r="X23"/>
  <c r="AM22"/>
  <c r="AH22"/>
  <c r="AC22"/>
  <c r="X22"/>
  <c r="AM21"/>
  <c r="AH21"/>
  <c r="AC21"/>
  <c r="X21"/>
  <c r="AM20"/>
  <c r="AC20"/>
  <c r="X20"/>
  <c r="AM19"/>
  <c r="AH19"/>
  <c r="AC19"/>
  <c r="X19"/>
  <c r="AM18"/>
  <c r="AH18"/>
  <c r="AC18"/>
  <c r="X18"/>
  <c r="AM17"/>
  <c r="AH17"/>
  <c r="AC17"/>
  <c r="X17"/>
  <c r="AM16"/>
  <c r="AH16"/>
  <c r="AC16"/>
  <c r="X16"/>
  <c r="AM15"/>
  <c r="AH15"/>
  <c r="AC15"/>
  <c r="X15"/>
  <c r="AM14"/>
  <c r="AH14"/>
  <c r="AC14"/>
  <c r="X14"/>
  <c r="AM13"/>
  <c r="X13"/>
  <c r="AM12"/>
  <c r="AH12"/>
  <c r="AC12"/>
  <c r="X12"/>
  <c r="AM11"/>
  <c r="AH11"/>
  <c r="AC11"/>
  <c r="X11"/>
  <c r="AM10"/>
  <c r="AH10"/>
  <c r="AC10"/>
  <c r="X10"/>
  <c r="AM9"/>
  <c r="AH9"/>
  <c r="AC9"/>
  <c r="X9"/>
  <c r="AM8"/>
  <c r="AH8"/>
  <c r="AC8"/>
  <c r="X8"/>
  <c r="AM7"/>
  <c r="AH7"/>
  <c r="AC7"/>
  <c r="X7"/>
  <c r="AM6"/>
  <c r="AH6"/>
  <c r="AC6"/>
  <c r="X6"/>
  <c r="S48" l="1"/>
  <c r="S49"/>
  <c r="S50"/>
  <c r="S46"/>
  <c r="S35"/>
  <c r="S36"/>
  <c r="S37"/>
  <c r="S38"/>
  <c r="S39"/>
  <c r="S40"/>
  <c r="S41"/>
  <c r="S42"/>
  <c r="S43"/>
  <c r="S44"/>
  <c r="S45"/>
  <c r="S19"/>
  <c r="S20"/>
  <c r="S13"/>
  <c r="S34"/>
  <c r="S33"/>
  <c r="S32"/>
  <c r="S31"/>
  <c r="S30"/>
  <c r="S29"/>
  <c r="S28"/>
  <c r="S27"/>
  <c r="S26"/>
  <c r="S25"/>
  <c r="S24"/>
  <c r="S23"/>
  <c r="S22"/>
  <c r="S21"/>
  <c r="S18"/>
  <c r="S17"/>
  <c r="S16"/>
  <c r="S15"/>
  <c r="S14"/>
  <c r="S12"/>
  <c r="S11"/>
  <c r="S10"/>
  <c r="S9"/>
  <c r="S8"/>
  <c r="S7"/>
  <c r="S6"/>
  <c r="N35" l="1"/>
  <c r="N34"/>
  <c r="N33"/>
  <c r="N32"/>
  <c r="N31"/>
  <c r="N30"/>
  <c r="N29"/>
  <c r="N28"/>
  <c r="N27"/>
  <c r="N26"/>
  <c r="N25"/>
  <c r="N24"/>
  <c r="N23"/>
  <c r="N22"/>
  <c r="N21"/>
  <c r="N19"/>
  <c r="N18"/>
  <c r="N17"/>
  <c r="N16"/>
  <c r="N15"/>
  <c r="N14"/>
  <c r="N12"/>
  <c r="N11"/>
  <c r="N10"/>
  <c r="N9"/>
  <c r="N8"/>
  <c r="N7"/>
  <c r="N6"/>
  <c r="I36"/>
  <c r="I7"/>
  <c r="I8"/>
  <c r="I9"/>
  <c r="I10"/>
  <c r="I11"/>
  <c r="I12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6"/>
  <c r="D33" l="1"/>
  <c r="D32"/>
  <c r="D31"/>
  <c r="D30"/>
  <c r="D29"/>
  <c r="D28"/>
  <c r="D27"/>
  <c r="D26"/>
  <c r="D25"/>
  <c r="D24"/>
  <c r="D23"/>
  <c r="D10"/>
  <c r="D11"/>
  <c r="D12"/>
  <c r="D13"/>
  <c r="D14"/>
  <c r="D15"/>
  <c r="D16"/>
  <c r="D17"/>
  <c r="D18"/>
  <c r="D19"/>
  <c r="D20"/>
  <c r="D21"/>
  <c r="D22"/>
  <c r="D9"/>
  <c r="D8"/>
  <c r="D7"/>
  <c r="D6"/>
</calcChain>
</file>

<file path=xl/sharedStrings.xml><?xml version="1.0" encoding="utf-8"?>
<sst xmlns="http://schemas.openxmlformats.org/spreadsheetml/2006/main" count="83" uniqueCount="27">
  <si>
    <t>Masa (g)</t>
  </si>
  <si>
    <t>Vreme (min)</t>
  </si>
  <si>
    <t>Merenje (g)</t>
  </si>
  <si>
    <t>Temperatura (°C)</t>
  </si>
  <si>
    <t>Test 1 - 19.02.2020</t>
  </si>
  <si>
    <t>Tara = 12.42 g</t>
  </si>
  <si>
    <t>/</t>
  </si>
  <si>
    <t>Test 2 - 20.02.2020</t>
  </si>
  <si>
    <t>Promena temperature u sušnici</t>
  </si>
  <si>
    <t>Test 3 - 20.02.2020</t>
  </si>
  <si>
    <t>Test 4 - 21.02.2020</t>
  </si>
  <si>
    <t>Otišli smo kući i vratili se uveče</t>
  </si>
  <si>
    <t>69 prosečna</t>
  </si>
  <si>
    <t>60 prosečna</t>
  </si>
  <si>
    <t>Sveža, tanko rezano (70°C)</t>
  </si>
  <si>
    <t>Sveža, tanko rezano (80°C + 55°C)</t>
  </si>
  <si>
    <t>Sveža, tanko rezano (80°C + 65°C + 55°C)</t>
  </si>
  <si>
    <t>Sveža, deblje rezano (80°C + 65°C + 55°C)</t>
  </si>
  <si>
    <t>Blanširana, tanko rezano (70°C)</t>
  </si>
  <si>
    <t>Blanširana, tanko rezano (80°C + 55°C)</t>
  </si>
  <si>
    <t>Blanširana, tanko rezano (80°C + 65°C + 55°C)</t>
  </si>
  <si>
    <t>Blanširana, deblje rezano (80°C + 65°C + 55°C)</t>
  </si>
  <si>
    <t>Test 1 - 24.02.2020</t>
  </si>
  <si>
    <t>Test 2 - 25.02.2020</t>
  </si>
  <si>
    <t>Test 3 - 26.02.2020</t>
  </si>
  <si>
    <t>Test 4 - 28.02.2020</t>
  </si>
  <si>
    <t>Promena Temp.</t>
  </si>
</sst>
</file>

<file path=xl/styles.xml><?xml version="1.0" encoding="utf-8"?>
<styleSheet xmlns="http://schemas.openxmlformats.org/spreadsheetml/2006/main">
  <fonts count="2"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4" xfId="0" applyBorder="1"/>
    <xf numFmtId="2" fontId="0" fillId="0" borderId="0" xfId="0" applyNumberFormat="1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  <xf numFmtId="0" fontId="0" fillId="0" borderId="5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 applyAlignment="1">
      <alignment horizontal="right"/>
    </xf>
    <xf numFmtId="0" fontId="0" fillId="0" borderId="0" xfId="0" applyFill="1" applyBorder="1"/>
    <xf numFmtId="0" fontId="0" fillId="0" borderId="6" xfId="0" applyFill="1" applyBorder="1"/>
    <xf numFmtId="0" fontId="0" fillId="0" borderId="7" xfId="0" applyFill="1" applyBorder="1"/>
    <xf numFmtId="2" fontId="0" fillId="0" borderId="7" xfId="0" applyNumberFormat="1" applyFill="1" applyBorder="1"/>
    <xf numFmtId="0" fontId="0" fillId="0" borderId="5" xfId="0" applyFill="1" applyBorder="1"/>
    <xf numFmtId="2" fontId="0" fillId="0" borderId="0" xfId="0" applyNumberFormat="1" applyFill="1" applyBorder="1"/>
    <xf numFmtId="0" fontId="0" fillId="0" borderId="4" xfId="0" applyFill="1" applyBorder="1"/>
    <xf numFmtId="0" fontId="0" fillId="0" borderId="8" xfId="0" applyFill="1" applyBorder="1"/>
    <xf numFmtId="0" fontId="0" fillId="0" borderId="5" xfId="0" applyFill="1" applyBorder="1" applyAlignment="1">
      <alignment horizontal="right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N57"/>
  <sheetViews>
    <sheetView tabSelected="1" zoomScale="55" zoomScaleNormal="55" workbookViewId="0">
      <selection activeCell="D36" sqref="D36"/>
    </sheetView>
  </sheetViews>
  <sheetFormatPr defaultRowHeight="19.2"/>
  <cols>
    <col min="2" max="2" width="11.81640625" customWidth="1"/>
    <col min="3" max="4" width="12.08984375" customWidth="1"/>
    <col min="5" max="5" width="15.81640625" customWidth="1"/>
    <col min="7" max="7" width="11.81640625" customWidth="1"/>
    <col min="8" max="9" width="12.08984375" customWidth="1"/>
    <col min="10" max="10" width="15.81640625" customWidth="1"/>
    <col min="12" max="12" width="11.81640625" customWidth="1"/>
    <col min="13" max="14" width="12.08984375" customWidth="1"/>
    <col min="15" max="15" width="15.81640625" customWidth="1"/>
    <col min="17" max="17" width="11.81640625" customWidth="1"/>
    <col min="18" max="19" width="12.08984375" customWidth="1"/>
    <col min="20" max="20" width="15.81640625" customWidth="1"/>
    <col min="22" max="22" width="11.81640625" customWidth="1"/>
    <col min="23" max="24" width="12.08984375" customWidth="1"/>
    <col min="25" max="25" width="15.81640625" customWidth="1"/>
    <col min="27" max="27" width="11.81640625" customWidth="1"/>
    <col min="28" max="29" width="12.08984375" customWidth="1"/>
    <col min="30" max="30" width="15.81640625" customWidth="1"/>
    <col min="32" max="32" width="11.81640625" customWidth="1"/>
    <col min="33" max="34" width="12.08984375" customWidth="1"/>
    <col min="35" max="35" width="15.81640625" customWidth="1"/>
    <col min="37" max="37" width="11.81640625" customWidth="1"/>
    <col min="38" max="39" width="12.08984375" customWidth="1"/>
    <col min="40" max="40" width="15.81640625" customWidth="1"/>
  </cols>
  <sheetData>
    <row r="1" spans="2:40" ht="19.8" thickBot="1"/>
    <row r="2" spans="2:40">
      <c r="B2" s="32" t="s">
        <v>4</v>
      </c>
      <c r="C2" s="33"/>
      <c r="D2" s="36" t="s">
        <v>5</v>
      </c>
      <c r="E2" s="37"/>
      <c r="G2" s="32" t="s">
        <v>7</v>
      </c>
      <c r="H2" s="33"/>
      <c r="I2" s="36" t="s">
        <v>5</v>
      </c>
      <c r="J2" s="37"/>
      <c r="L2" s="32" t="s">
        <v>9</v>
      </c>
      <c r="M2" s="33"/>
      <c r="N2" s="36" t="s">
        <v>5</v>
      </c>
      <c r="O2" s="37"/>
      <c r="Q2" s="32" t="s">
        <v>10</v>
      </c>
      <c r="R2" s="33"/>
      <c r="S2" s="36" t="s">
        <v>5</v>
      </c>
      <c r="T2" s="37"/>
      <c r="V2" s="32" t="s">
        <v>22</v>
      </c>
      <c r="W2" s="33"/>
      <c r="X2" s="36" t="s">
        <v>5</v>
      </c>
      <c r="Y2" s="37"/>
      <c r="AA2" s="32" t="s">
        <v>23</v>
      </c>
      <c r="AB2" s="33"/>
      <c r="AC2" s="36" t="s">
        <v>5</v>
      </c>
      <c r="AD2" s="37"/>
      <c r="AF2" s="32" t="s">
        <v>24</v>
      </c>
      <c r="AG2" s="33"/>
      <c r="AH2" s="36" t="s">
        <v>5</v>
      </c>
      <c r="AI2" s="37"/>
      <c r="AK2" s="32" t="s">
        <v>25</v>
      </c>
      <c r="AL2" s="33"/>
      <c r="AM2" s="36" t="s">
        <v>5</v>
      </c>
      <c r="AN2" s="37"/>
    </row>
    <row r="3" spans="2:40" ht="19.8" thickBot="1">
      <c r="B3" s="34"/>
      <c r="C3" s="35"/>
      <c r="D3" s="38"/>
      <c r="E3" s="39"/>
      <c r="G3" s="34"/>
      <c r="H3" s="35"/>
      <c r="I3" s="38"/>
      <c r="J3" s="39"/>
      <c r="L3" s="34"/>
      <c r="M3" s="35"/>
      <c r="N3" s="38"/>
      <c r="O3" s="39"/>
      <c r="Q3" s="34"/>
      <c r="R3" s="35"/>
      <c r="S3" s="38"/>
      <c r="T3" s="39"/>
      <c r="V3" s="34"/>
      <c r="W3" s="35"/>
      <c r="X3" s="38"/>
      <c r="Y3" s="39"/>
      <c r="AA3" s="34"/>
      <c r="AB3" s="35"/>
      <c r="AC3" s="38"/>
      <c r="AD3" s="39"/>
      <c r="AF3" s="34"/>
      <c r="AG3" s="35"/>
      <c r="AH3" s="38"/>
      <c r="AI3" s="39"/>
      <c r="AK3" s="34"/>
      <c r="AL3" s="35"/>
      <c r="AM3" s="38"/>
      <c r="AN3" s="39"/>
    </row>
    <row r="4" spans="2:40" ht="19.8" thickBot="1">
      <c r="B4" s="29" t="s">
        <v>14</v>
      </c>
      <c r="C4" s="30"/>
      <c r="D4" s="30"/>
      <c r="E4" s="31"/>
      <c r="G4" s="29" t="s">
        <v>15</v>
      </c>
      <c r="H4" s="30"/>
      <c r="I4" s="30"/>
      <c r="J4" s="31"/>
      <c r="L4" s="29" t="s">
        <v>16</v>
      </c>
      <c r="M4" s="30"/>
      <c r="N4" s="30"/>
      <c r="O4" s="31"/>
      <c r="Q4" s="29" t="s">
        <v>17</v>
      </c>
      <c r="R4" s="30"/>
      <c r="S4" s="30"/>
      <c r="T4" s="31"/>
      <c r="V4" s="29" t="s">
        <v>18</v>
      </c>
      <c r="W4" s="30"/>
      <c r="X4" s="30"/>
      <c r="Y4" s="31"/>
      <c r="AA4" s="29" t="s">
        <v>19</v>
      </c>
      <c r="AB4" s="30"/>
      <c r="AC4" s="30"/>
      <c r="AD4" s="31"/>
      <c r="AF4" s="29" t="s">
        <v>20</v>
      </c>
      <c r="AG4" s="30"/>
      <c r="AH4" s="30"/>
      <c r="AI4" s="31"/>
      <c r="AK4" s="29" t="s">
        <v>21</v>
      </c>
      <c r="AL4" s="30"/>
      <c r="AM4" s="30"/>
      <c r="AN4" s="31"/>
    </row>
    <row r="5" spans="2:40" ht="19.8" thickBot="1">
      <c r="B5" s="10" t="s">
        <v>1</v>
      </c>
      <c r="C5" s="11" t="s">
        <v>2</v>
      </c>
      <c r="D5" s="11" t="s">
        <v>0</v>
      </c>
      <c r="E5" s="12" t="s">
        <v>3</v>
      </c>
      <c r="G5" s="10" t="s">
        <v>1</v>
      </c>
      <c r="H5" s="11" t="s">
        <v>2</v>
      </c>
      <c r="I5" s="11" t="s">
        <v>0</v>
      </c>
      <c r="J5" s="12" t="s">
        <v>3</v>
      </c>
      <c r="L5" s="10" t="s">
        <v>1</v>
      </c>
      <c r="M5" s="11" t="s">
        <v>2</v>
      </c>
      <c r="N5" s="11" t="s">
        <v>0</v>
      </c>
      <c r="O5" s="12" t="s">
        <v>3</v>
      </c>
      <c r="Q5" s="10" t="s">
        <v>1</v>
      </c>
      <c r="R5" s="11" t="s">
        <v>2</v>
      </c>
      <c r="S5" s="11" t="s">
        <v>0</v>
      </c>
      <c r="T5" s="12" t="s">
        <v>3</v>
      </c>
      <c r="V5" s="10" t="s">
        <v>1</v>
      </c>
      <c r="W5" s="11" t="s">
        <v>2</v>
      </c>
      <c r="X5" s="11" t="s">
        <v>0</v>
      </c>
      <c r="Y5" s="12" t="s">
        <v>3</v>
      </c>
      <c r="AA5" s="10" t="s">
        <v>1</v>
      </c>
      <c r="AB5" s="11" t="s">
        <v>2</v>
      </c>
      <c r="AC5" s="11" t="s">
        <v>0</v>
      </c>
      <c r="AD5" s="12" t="s">
        <v>3</v>
      </c>
      <c r="AF5" s="10" t="s">
        <v>1</v>
      </c>
      <c r="AG5" s="11" t="s">
        <v>2</v>
      </c>
      <c r="AH5" s="11" t="s">
        <v>0</v>
      </c>
      <c r="AI5" s="12" t="s">
        <v>3</v>
      </c>
      <c r="AK5" s="10" t="s">
        <v>1</v>
      </c>
      <c r="AL5" s="11" t="s">
        <v>2</v>
      </c>
      <c r="AM5" s="11" t="s">
        <v>0</v>
      </c>
      <c r="AN5" s="12" t="s">
        <v>3</v>
      </c>
    </row>
    <row r="6" spans="2:40">
      <c r="B6" s="3">
        <v>0</v>
      </c>
      <c r="C6" s="1">
        <v>74.040000000000006</v>
      </c>
      <c r="D6" s="4">
        <f>C6-12.42</f>
        <v>61.620000000000005</v>
      </c>
      <c r="E6" s="9" t="s">
        <v>6</v>
      </c>
      <c r="G6" s="13">
        <v>0</v>
      </c>
      <c r="H6" s="14">
        <v>109.27</v>
      </c>
      <c r="I6" s="15">
        <f>H6-12.42</f>
        <v>96.85</v>
      </c>
      <c r="J6" s="16" t="s">
        <v>6</v>
      </c>
      <c r="L6" s="13">
        <v>0</v>
      </c>
      <c r="M6" s="14">
        <v>94.6</v>
      </c>
      <c r="N6" s="15">
        <f>M6-12.42</f>
        <v>82.179999999999993</v>
      </c>
      <c r="O6" s="16" t="s">
        <v>6</v>
      </c>
      <c r="Q6" s="13">
        <v>0</v>
      </c>
      <c r="R6" s="14">
        <v>254.95</v>
      </c>
      <c r="S6" s="15">
        <f>R6-12.42</f>
        <v>242.53</v>
      </c>
      <c r="T6" s="16" t="s">
        <v>6</v>
      </c>
      <c r="V6" s="3">
        <v>0</v>
      </c>
      <c r="W6" s="1">
        <v>134.6</v>
      </c>
      <c r="X6" s="4">
        <f>W6-12.42</f>
        <v>122.17999999999999</v>
      </c>
      <c r="Y6" s="9">
        <v>70</v>
      </c>
      <c r="Z6" s="9"/>
      <c r="AA6" s="13">
        <v>0</v>
      </c>
      <c r="AB6" s="14">
        <v>153.36000000000001</v>
      </c>
      <c r="AC6" s="15">
        <f>AB6-12.42</f>
        <v>140.94000000000003</v>
      </c>
      <c r="AD6" s="16" t="s">
        <v>6</v>
      </c>
      <c r="AF6" s="13">
        <v>0</v>
      </c>
      <c r="AG6" s="14">
        <v>149.94999999999999</v>
      </c>
      <c r="AH6" s="15">
        <f>AG6-12.42</f>
        <v>137.53</v>
      </c>
      <c r="AI6" s="16" t="s">
        <v>6</v>
      </c>
      <c r="AK6" s="13">
        <v>0</v>
      </c>
      <c r="AL6" s="14">
        <v>298.12</v>
      </c>
      <c r="AM6" s="15">
        <f>AL6-12.42</f>
        <v>285.7</v>
      </c>
      <c r="AN6" s="16" t="s">
        <v>6</v>
      </c>
    </row>
    <row r="7" spans="2:40">
      <c r="B7" s="3">
        <v>5</v>
      </c>
      <c r="C7" s="1">
        <v>67.12</v>
      </c>
      <c r="D7" s="4">
        <f>C7-12.42</f>
        <v>54.7</v>
      </c>
      <c r="E7" s="2">
        <v>70</v>
      </c>
      <c r="G7" s="3">
        <v>5</v>
      </c>
      <c r="H7" s="17">
        <v>100.84</v>
      </c>
      <c r="I7" s="4">
        <f t="shared" ref="I7:I36" si="0">H7-12.42</f>
        <v>88.42</v>
      </c>
      <c r="J7" s="2">
        <v>80</v>
      </c>
      <c r="L7" s="3">
        <v>5</v>
      </c>
      <c r="M7" s="17">
        <v>88.29</v>
      </c>
      <c r="N7" s="4">
        <f t="shared" ref="N7:N35" si="1">M7-12.42</f>
        <v>75.87</v>
      </c>
      <c r="O7" s="2">
        <v>80</v>
      </c>
      <c r="Q7" s="3">
        <v>5</v>
      </c>
      <c r="R7" s="17">
        <v>249.7</v>
      </c>
      <c r="S7" s="4">
        <f t="shared" ref="S7:S12" si="2">R7-12.42</f>
        <v>237.28</v>
      </c>
      <c r="T7" s="2">
        <v>80</v>
      </c>
      <c r="V7" s="3">
        <v>5</v>
      </c>
      <c r="W7" s="17">
        <v>127.57</v>
      </c>
      <c r="X7" s="4">
        <f>W7-12.42</f>
        <v>115.14999999999999</v>
      </c>
      <c r="Y7" s="2">
        <v>70</v>
      </c>
      <c r="AA7" s="3">
        <v>5</v>
      </c>
      <c r="AB7" s="17">
        <v>145.34</v>
      </c>
      <c r="AC7" s="4">
        <f t="shared" ref="AC7:AC13" si="3">AB7-12.42</f>
        <v>132.92000000000002</v>
      </c>
      <c r="AD7" s="2">
        <v>80</v>
      </c>
      <c r="AF7" s="3">
        <v>5</v>
      </c>
      <c r="AG7" s="17">
        <v>141.58000000000001</v>
      </c>
      <c r="AH7" s="4">
        <f t="shared" ref="AH7:AH12" si="4">AG7-12.42</f>
        <v>129.16000000000003</v>
      </c>
      <c r="AI7" s="2">
        <v>80</v>
      </c>
      <c r="AK7" s="3">
        <v>5</v>
      </c>
      <c r="AL7" s="17">
        <v>287.77999999999997</v>
      </c>
      <c r="AM7" s="4">
        <f t="shared" ref="AM7:AM46" si="5">AL7-12.42</f>
        <v>275.35999999999996</v>
      </c>
      <c r="AN7" s="2">
        <v>80</v>
      </c>
    </row>
    <row r="8" spans="2:40">
      <c r="B8" s="3">
        <v>10</v>
      </c>
      <c r="C8" s="1">
        <v>62.22</v>
      </c>
      <c r="D8" s="4">
        <f>C8-12.42</f>
        <v>49.8</v>
      </c>
      <c r="E8" s="2">
        <v>70</v>
      </c>
      <c r="G8" s="3">
        <v>10</v>
      </c>
      <c r="H8" s="17">
        <v>93.34</v>
      </c>
      <c r="I8" s="4">
        <f t="shared" si="0"/>
        <v>80.92</v>
      </c>
      <c r="J8" s="2">
        <v>80</v>
      </c>
      <c r="L8" s="3">
        <v>10</v>
      </c>
      <c r="M8" s="17">
        <v>79.5</v>
      </c>
      <c r="N8" s="4">
        <f t="shared" si="1"/>
        <v>67.08</v>
      </c>
      <c r="O8" s="2">
        <v>80</v>
      </c>
      <c r="Q8" s="3">
        <v>10</v>
      </c>
      <c r="R8" s="17">
        <v>244.41</v>
      </c>
      <c r="S8" s="4">
        <f t="shared" si="2"/>
        <v>231.99</v>
      </c>
      <c r="T8" s="2">
        <v>80</v>
      </c>
      <c r="V8" s="3">
        <v>10</v>
      </c>
      <c r="W8" s="17">
        <v>121.97</v>
      </c>
      <c r="X8" s="4">
        <f>W8-12.42</f>
        <v>109.55</v>
      </c>
      <c r="Y8" s="2">
        <v>70</v>
      </c>
      <c r="AA8" s="3">
        <v>10</v>
      </c>
      <c r="AB8" s="17">
        <v>137.94999999999999</v>
      </c>
      <c r="AC8" s="4">
        <f t="shared" si="3"/>
        <v>125.52999999999999</v>
      </c>
      <c r="AD8" s="2">
        <v>80</v>
      </c>
      <c r="AF8" s="3">
        <v>10</v>
      </c>
      <c r="AG8" s="17">
        <v>132.94</v>
      </c>
      <c r="AH8" s="4">
        <f t="shared" si="4"/>
        <v>120.52</v>
      </c>
      <c r="AI8" s="2">
        <v>80</v>
      </c>
      <c r="AK8" s="3">
        <v>10</v>
      </c>
      <c r="AL8" s="17">
        <v>280.23</v>
      </c>
      <c r="AM8" s="4">
        <f t="shared" si="5"/>
        <v>267.81</v>
      </c>
      <c r="AN8" s="2">
        <v>80</v>
      </c>
    </row>
    <row r="9" spans="2:40">
      <c r="B9" s="3">
        <v>15</v>
      </c>
      <c r="C9" s="1">
        <v>56.77</v>
      </c>
      <c r="D9" s="4">
        <f>C9-12.42</f>
        <v>44.35</v>
      </c>
      <c r="E9" s="2">
        <v>70</v>
      </c>
      <c r="G9" s="3">
        <v>15</v>
      </c>
      <c r="H9" s="17">
        <v>86.08</v>
      </c>
      <c r="I9" s="4">
        <f t="shared" si="0"/>
        <v>73.66</v>
      </c>
      <c r="J9" s="2">
        <v>80</v>
      </c>
      <c r="L9" s="3">
        <v>15</v>
      </c>
      <c r="M9" s="17">
        <v>73.36</v>
      </c>
      <c r="N9" s="4">
        <f t="shared" si="1"/>
        <v>60.94</v>
      </c>
      <c r="O9" s="2">
        <v>80</v>
      </c>
      <c r="Q9" s="3">
        <v>15</v>
      </c>
      <c r="R9" s="17">
        <v>238.36</v>
      </c>
      <c r="S9" s="4">
        <f t="shared" si="2"/>
        <v>225.94000000000003</v>
      </c>
      <c r="T9" s="2">
        <v>80</v>
      </c>
      <c r="V9" s="3">
        <v>15</v>
      </c>
      <c r="W9" s="17">
        <v>115.67</v>
      </c>
      <c r="X9" s="4">
        <f>W9-12.42</f>
        <v>103.25</v>
      </c>
      <c r="Y9" s="2">
        <v>70</v>
      </c>
      <c r="AA9" s="3">
        <v>15</v>
      </c>
      <c r="AB9" s="17">
        <v>130.97999999999999</v>
      </c>
      <c r="AC9" s="4">
        <f t="shared" si="3"/>
        <v>118.55999999999999</v>
      </c>
      <c r="AD9" s="2">
        <v>80</v>
      </c>
      <c r="AF9" s="3">
        <v>15</v>
      </c>
      <c r="AG9" s="17">
        <v>127.13</v>
      </c>
      <c r="AH9" s="4">
        <f t="shared" si="4"/>
        <v>114.71</v>
      </c>
      <c r="AI9" s="2">
        <v>80</v>
      </c>
      <c r="AK9" s="3">
        <v>15</v>
      </c>
      <c r="AL9" s="17">
        <v>273.55</v>
      </c>
      <c r="AM9" s="4">
        <f t="shared" si="5"/>
        <v>261.13</v>
      </c>
      <c r="AN9" s="2">
        <v>80</v>
      </c>
    </row>
    <row r="10" spans="2:40">
      <c r="B10" s="3">
        <v>20</v>
      </c>
      <c r="C10" s="1">
        <v>52.17</v>
      </c>
      <c r="D10" s="4">
        <f t="shared" ref="D10:D33" si="6">C10-12.42</f>
        <v>39.75</v>
      </c>
      <c r="E10" s="2">
        <v>70</v>
      </c>
      <c r="G10" s="3">
        <v>20</v>
      </c>
      <c r="H10" s="17">
        <v>79.069999999999993</v>
      </c>
      <c r="I10" s="4">
        <f t="shared" si="0"/>
        <v>66.649999999999991</v>
      </c>
      <c r="J10" s="2">
        <v>80</v>
      </c>
      <c r="L10" s="3">
        <v>20</v>
      </c>
      <c r="M10" s="17">
        <v>68.94</v>
      </c>
      <c r="N10" s="4">
        <f t="shared" si="1"/>
        <v>56.519999999999996</v>
      </c>
      <c r="O10" s="2">
        <v>80</v>
      </c>
      <c r="Q10" s="3">
        <v>20</v>
      </c>
      <c r="R10" s="17">
        <v>232.03</v>
      </c>
      <c r="S10" s="4">
        <f t="shared" si="2"/>
        <v>219.61</v>
      </c>
      <c r="T10" s="2">
        <v>80</v>
      </c>
      <c r="V10" s="3">
        <v>20</v>
      </c>
      <c r="W10" s="17">
        <v>110.18</v>
      </c>
      <c r="X10" s="4">
        <f t="shared" ref="X10:X39" si="7">W10-12.42</f>
        <v>97.76</v>
      </c>
      <c r="Y10" s="2">
        <v>70</v>
      </c>
      <c r="AA10" s="3">
        <v>20</v>
      </c>
      <c r="AB10" s="17">
        <v>123.57</v>
      </c>
      <c r="AC10" s="4">
        <f t="shared" si="3"/>
        <v>111.14999999999999</v>
      </c>
      <c r="AD10" s="2">
        <v>80</v>
      </c>
      <c r="AF10" s="3">
        <v>20</v>
      </c>
      <c r="AG10" s="17">
        <v>120.24</v>
      </c>
      <c r="AH10" s="4">
        <f t="shared" si="4"/>
        <v>107.82</v>
      </c>
      <c r="AI10" s="2">
        <v>80</v>
      </c>
      <c r="AK10" s="3">
        <v>20</v>
      </c>
      <c r="AL10" s="17">
        <v>266.26</v>
      </c>
      <c r="AM10" s="4">
        <f t="shared" si="5"/>
        <v>253.84</v>
      </c>
      <c r="AN10" s="2">
        <v>80</v>
      </c>
    </row>
    <row r="11" spans="2:40">
      <c r="B11" s="3">
        <v>25</v>
      </c>
      <c r="C11" s="1">
        <v>47.66</v>
      </c>
      <c r="D11" s="4">
        <f t="shared" si="6"/>
        <v>35.239999999999995</v>
      </c>
      <c r="E11" s="2">
        <v>70</v>
      </c>
      <c r="G11" s="3">
        <v>25</v>
      </c>
      <c r="H11" s="17">
        <v>73.08</v>
      </c>
      <c r="I11" s="4">
        <f t="shared" si="0"/>
        <v>60.66</v>
      </c>
      <c r="J11" s="2">
        <v>80</v>
      </c>
      <c r="L11" s="3">
        <v>25</v>
      </c>
      <c r="M11" s="17">
        <v>61.04</v>
      </c>
      <c r="N11" s="4">
        <f t="shared" si="1"/>
        <v>48.62</v>
      </c>
      <c r="O11" s="2">
        <v>80</v>
      </c>
      <c r="Q11" s="3">
        <v>25</v>
      </c>
      <c r="R11" s="17">
        <v>225.4</v>
      </c>
      <c r="S11" s="4">
        <f t="shared" si="2"/>
        <v>212.98000000000002</v>
      </c>
      <c r="T11" s="2">
        <v>80</v>
      </c>
      <c r="V11" s="3">
        <v>25</v>
      </c>
      <c r="W11" s="17">
        <v>104.35</v>
      </c>
      <c r="X11" s="4">
        <f t="shared" si="7"/>
        <v>91.929999999999993</v>
      </c>
      <c r="Y11" s="2">
        <v>70</v>
      </c>
      <c r="AA11" s="3">
        <v>25</v>
      </c>
      <c r="AB11" s="17">
        <v>115.97</v>
      </c>
      <c r="AC11" s="4">
        <f t="shared" si="3"/>
        <v>103.55</v>
      </c>
      <c r="AD11" s="2">
        <v>80</v>
      </c>
      <c r="AF11" s="3">
        <v>25</v>
      </c>
      <c r="AG11" s="17">
        <v>113.89</v>
      </c>
      <c r="AH11" s="4">
        <f t="shared" si="4"/>
        <v>101.47</v>
      </c>
      <c r="AI11" s="2">
        <v>80</v>
      </c>
      <c r="AK11" s="3">
        <v>25</v>
      </c>
      <c r="AL11" s="17">
        <v>260.17</v>
      </c>
      <c r="AM11" s="4">
        <f t="shared" si="5"/>
        <v>247.75000000000003</v>
      </c>
      <c r="AN11" s="2">
        <v>80</v>
      </c>
    </row>
    <row r="12" spans="2:40">
      <c r="B12" s="3">
        <v>30</v>
      </c>
      <c r="C12" s="1">
        <v>43.78</v>
      </c>
      <c r="D12" s="4">
        <f t="shared" si="6"/>
        <v>31.36</v>
      </c>
      <c r="E12" s="2">
        <v>70</v>
      </c>
      <c r="G12" s="3">
        <v>30</v>
      </c>
      <c r="H12" s="17">
        <v>65.540000000000006</v>
      </c>
      <c r="I12" s="4">
        <f t="shared" si="0"/>
        <v>53.120000000000005</v>
      </c>
      <c r="J12" s="2">
        <v>80</v>
      </c>
      <c r="L12" s="3">
        <v>30</v>
      </c>
      <c r="M12" s="17">
        <v>56.07</v>
      </c>
      <c r="N12" s="4">
        <f t="shared" si="1"/>
        <v>43.65</v>
      </c>
      <c r="O12" s="2">
        <v>80</v>
      </c>
      <c r="Q12" s="3">
        <v>30</v>
      </c>
      <c r="R12" s="17">
        <v>219.81</v>
      </c>
      <c r="S12" s="4">
        <f t="shared" si="2"/>
        <v>207.39000000000001</v>
      </c>
      <c r="T12" s="2">
        <v>80</v>
      </c>
      <c r="V12" s="3">
        <v>30</v>
      </c>
      <c r="W12" s="17">
        <v>98.88</v>
      </c>
      <c r="X12" s="4">
        <f t="shared" si="7"/>
        <v>86.46</v>
      </c>
      <c r="Y12" s="2">
        <v>70</v>
      </c>
      <c r="AA12" s="3">
        <v>30</v>
      </c>
      <c r="AB12" s="17">
        <v>108.02</v>
      </c>
      <c r="AC12" s="4">
        <f t="shared" si="3"/>
        <v>95.6</v>
      </c>
      <c r="AD12" s="2">
        <v>80</v>
      </c>
      <c r="AF12" s="3">
        <v>30</v>
      </c>
      <c r="AG12" s="17">
        <v>107.15</v>
      </c>
      <c r="AH12" s="4">
        <f t="shared" si="4"/>
        <v>94.73</v>
      </c>
      <c r="AI12" s="2">
        <v>80</v>
      </c>
      <c r="AK12" s="3">
        <v>30</v>
      </c>
      <c r="AL12" s="17">
        <v>252.84</v>
      </c>
      <c r="AM12" s="4">
        <f t="shared" si="5"/>
        <v>240.42000000000002</v>
      </c>
      <c r="AN12" s="2">
        <v>80</v>
      </c>
    </row>
    <row r="13" spans="2:40">
      <c r="B13" s="3">
        <v>35</v>
      </c>
      <c r="C13" s="1">
        <v>39.74</v>
      </c>
      <c r="D13" s="4">
        <f t="shared" si="6"/>
        <v>27.32</v>
      </c>
      <c r="E13" s="2">
        <v>71</v>
      </c>
      <c r="G13" s="3">
        <v>40</v>
      </c>
      <c r="H13" s="27" t="s">
        <v>8</v>
      </c>
      <c r="I13" s="27"/>
      <c r="J13" s="28"/>
      <c r="L13" s="3">
        <v>35</v>
      </c>
      <c r="M13" s="27" t="s">
        <v>8</v>
      </c>
      <c r="N13" s="27"/>
      <c r="O13" s="28"/>
      <c r="Q13" s="3">
        <v>35</v>
      </c>
      <c r="R13" s="17">
        <v>213.83</v>
      </c>
      <c r="S13" s="4">
        <f t="shared" ref="S13" si="8">R13-12.42</f>
        <v>201.41000000000003</v>
      </c>
      <c r="T13" s="2">
        <v>80</v>
      </c>
      <c r="V13" s="3">
        <v>35</v>
      </c>
      <c r="W13" s="17">
        <v>92.7</v>
      </c>
      <c r="X13" s="4">
        <f t="shared" si="7"/>
        <v>80.28</v>
      </c>
      <c r="Y13" s="2">
        <v>70</v>
      </c>
      <c r="AA13" s="3">
        <v>40</v>
      </c>
      <c r="AB13" s="17">
        <v>106.67</v>
      </c>
      <c r="AC13" s="4">
        <f t="shared" si="3"/>
        <v>94.25</v>
      </c>
      <c r="AD13" s="26" t="s">
        <v>26</v>
      </c>
      <c r="AF13" s="3">
        <v>35</v>
      </c>
      <c r="AG13" s="17">
        <v>106.1</v>
      </c>
      <c r="AH13" s="4">
        <f t="shared" ref="AH13" si="9">AG13-12.42</f>
        <v>93.679999999999993</v>
      </c>
      <c r="AI13" s="26" t="s">
        <v>26</v>
      </c>
      <c r="AK13" s="3">
        <v>35</v>
      </c>
      <c r="AL13" s="17">
        <v>246.36</v>
      </c>
      <c r="AM13" s="4">
        <f t="shared" si="5"/>
        <v>233.94000000000003</v>
      </c>
      <c r="AN13" s="2">
        <v>80</v>
      </c>
    </row>
    <row r="14" spans="2:40">
      <c r="B14" s="3">
        <v>40</v>
      </c>
      <c r="C14" s="1">
        <v>36.770000000000003</v>
      </c>
      <c r="D14" s="4">
        <f t="shared" si="6"/>
        <v>24.35</v>
      </c>
      <c r="E14" s="2">
        <v>72.5</v>
      </c>
      <c r="G14" s="3">
        <v>45</v>
      </c>
      <c r="H14" s="17">
        <v>60.87</v>
      </c>
      <c r="I14" s="4">
        <f t="shared" si="0"/>
        <v>48.449999999999996</v>
      </c>
      <c r="J14" s="2">
        <v>55</v>
      </c>
      <c r="L14" s="3">
        <v>40</v>
      </c>
      <c r="M14" s="17">
        <v>50.25</v>
      </c>
      <c r="N14" s="4">
        <f t="shared" si="1"/>
        <v>37.83</v>
      </c>
      <c r="O14" s="2">
        <v>65</v>
      </c>
      <c r="Q14" s="3">
        <v>40</v>
      </c>
      <c r="R14" s="17">
        <v>208.77</v>
      </c>
      <c r="S14" s="4">
        <f t="shared" ref="S14:S19" si="10">R14-12.42</f>
        <v>196.35000000000002</v>
      </c>
      <c r="T14" s="2">
        <v>80</v>
      </c>
      <c r="V14" s="3">
        <v>40</v>
      </c>
      <c r="W14" s="17">
        <v>88.27</v>
      </c>
      <c r="X14" s="4">
        <f t="shared" si="7"/>
        <v>75.849999999999994</v>
      </c>
      <c r="Y14" s="2">
        <v>70</v>
      </c>
      <c r="Z14" s="2"/>
      <c r="AA14" s="3">
        <v>45</v>
      </c>
      <c r="AB14" s="17">
        <v>102.3</v>
      </c>
      <c r="AC14" s="4">
        <f t="shared" ref="AC14:AC35" si="11">AB14-12.42</f>
        <v>89.88</v>
      </c>
      <c r="AD14" s="2">
        <v>55</v>
      </c>
      <c r="AF14" s="3">
        <v>40</v>
      </c>
      <c r="AG14" s="17">
        <v>100.45</v>
      </c>
      <c r="AH14" s="4">
        <f t="shared" ref="AH14:AH20" si="12">AG14-12.42</f>
        <v>88.03</v>
      </c>
      <c r="AI14" s="2">
        <v>65</v>
      </c>
      <c r="AK14" s="3">
        <v>40</v>
      </c>
      <c r="AL14" s="17">
        <v>241.43</v>
      </c>
      <c r="AM14" s="4">
        <f t="shared" si="5"/>
        <v>229.01000000000002</v>
      </c>
      <c r="AN14" s="2">
        <v>80</v>
      </c>
    </row>
    <row r="15" spans="2:40">
      <c r="B15" s="3">
        <v>45</v>
      </c>
      <c r="C15" s="1">
        <v>33.47</v>
      </c>
      <c r="D15" s="4">
        <f t="shared" si="6"/>
        <v>21.049999999999997</v>
      </c>
      <c r="E15" s="2">
        <v>73</v>
      </c>
      <c r="G15" s="3">
        <v>50</v>
      </c>
      <c r="H15" s="17">
        <v>57.58</v>
      </c>
      <c r="I15" s="4">
        <f t="shared" si="0"/>
        <v>45.16</v>
      </c>
      <c r="J15" s="2">
        <v>55</v>
      </c>
      <c r="L15" s="3">
        <v>45</v>
      </c>
      <c r="M15" s="17">
        <v>47.08</v>
      </c>
      <c r="N15" s="4">
        <f t="shared" si="1"/>
        <v>34.659999999999997</v>
      </c>
      <c r="O15" s="2">
        <v>65</v>
      </c>
      <c r="Q15" s="3">
        <v>45</v>
      </c>
      <c r="R15" s="17">
        <v>202.18</v>
      </c>
      <c r="S15" s="4">
        <f t="shared" si="10"/>
        <v>189.76000000000002</v>
      </c>
      <c r="T15" s="2">
        <v>80</v>
      </c>
      <c r="V15" s="3">
        <v>45</v>
      </c>
      <c r="W15" s="17">
        <v>83.37</v>
      </c>
      <c r="X15" s="4">
        <f t="shared" si="7"/>
        <v>70.95</v>
      </c>
      <c r="Y15" s="2">
        <v>70</v>
      </c>
      <c r="AA15" s="3">
        <v>50</v>
      </c>
      <c r="AB15" s="17">
        <v>97.99</v>
      </c>
      <c r="AC15" s="4">
        <f t="shared" si="11"/>
        <v>85.57</v>
      </c>
      <c r="AD15" s="2">
        <v>55</v>
      </c>
      <c r="AF15" s="3">
        <v>45</v>
      </c>
      <c r="AG15" s="17">
        <v>95.26</v>
      </c>
      <c r="AH15" s="4">
        <f t="shared" si="12"/>
        <v>82.84</v>
      </c>
      <c r="AI15" s="2">
        <v>65</v>
      </c>
      <c r="AK15" s="3">
        <v>45</v>
      </c>
      <c r="AL15" s="17">
        <v>233.87</v>
      </c>
      <c r="AM15" s="4">
        <f t="shared" si="5"/>
        <v>221.45000000000002</v>
      </c>
      <c r="AN15" s="2">
        <v>80</v>
      </c>
    </row>
    <row r="16" spans="2:40">
      <c r="B16" s="3">
        <v>50</v>
      </c>
      <c r="C16" s="1">
        <v>31.21</v>
      </c>
      <c r="D16" s="4">
        <f t="shared" si="6"/>
        <v>18.79</v>
      </c>
      <c r="E16" s="2">
        <v>73.400000000000006</v>
      </c>
      <c r="G16" s="3">
        <v>55</v>
      </c>
      <c r="H16" s="17">
        <v>54.61</v>
      </c>
      <c r="I16" s="4">
        <f t="shared" si="0"/>
        <v>42.19</v>
      </c>
      <c r="J16" s="2">
        <v>55</v>
      </c>
      <c r="L16" s="3">
        <v>50</v>
      </c>
      <c r="M16" s="17">
        <v>43.95</v>
      </c>
      <c r="N16" s="4">
        <f t="shared" si="1"/>
        <v>31.53</v>
      </c>
      <c r="O16" s="2">
        <v>65</v>
      </c>
      <c r="Q16" s="3">
        <v>50</v>
      </c>
      <c r="R16" s="17">
        <v>197.8</v>
      </c>
      <c r="S16" s="4">
        <f t="shared" si="10"/>
        <v>185.38000000000002</v>
      </c>
      <c r="T16" s="2">
        <v>80</v>
      </c>
      <c r="V16" s="3">
        <v>50</v>
      </c>
      <c r="W16" s="17">
        <v>78.61</v>
      </c>
      <c r="X16" s="4">
        <f t="shared" si="7"/>
        <v>66.19</v>
      </c>
      <c r="Y16" s="2">
        <v>70</v>
      </c>
      <c r="AA16" s="3">
        <v>55</v>
      </c>
      <c r="AB16" s="17">
        <v>93.81</v>
      </c>
      <c r="AC16" s="4">
        <f t="shared" si="11"/>
        <v>81.39</v>
      </c>
      <c r="AD16" s="2">
        <v>55</v>
      </c>
      <c r="AF16" s="3">
        <v>50</v>
      </c>
      <c r="AG16" s="17">
        <v>90.33</v>
      </c>
      <c r="AH16" s="4">
        <f t="shared" si="12"/>
        <v>77.91</v>
      </c>
      <c r="AI16" s="2">
        <v>65</v>
      </c>
      <c r="AK16" s="3">
        <v>50</v>
      </c>
      <c r="AL16" s="17">
        <v>228.99</v>
      </c>
      <c r="AM16" s="4">
        <f t="shared" si="5"/>
        <v>216.57000000000002</v>
      </c>
      <c r="AN16" s="2">
        <v>80</v>
      </c>
    </row>
    <row r="17" spans="2:40">
      <c r="B17" s="3">
        <v>55</v>
      </c>
      <c r="C17" s="1">
        <v>28.92</v>
      </c>
      <c r="D17" s="4">
        <f t="shared" si="6"/>
        <v>16.5</v>
      </c>
      <c r="E17" s="2">
        <v>73.7</v>
      </c>
      <c r="G17" s="3">
        <v>60</v>
      </c>
      <c r="H17" s="17">
        <v>52.36</v>
      </c>
      <c r="I17" s="4">
        <f t="shared" si="0"/>
        <v>39.94</v>
      </c>
      <c r="J17" s="2">
        <v>55</v>
      </c>
      <c r="L17" s="3">
        <v>55</v>
      </c>
      <c r="M17" s="17">
        <v>40.450000000000003</v>
      </c>
      <c r="N17" s="4">
        <f t="shared" si="1"/>
        <v>28.03</v>
      </c>
      <c r="O17" s="2">
        <v>65</v>
      </c>
      <c r="Q17" s="3">
        <v>55</v>
      </c>
      <c r="R17" s="17">
        <v>192.99</v>
      </c>
      <c r="S17" s="4">
        <f t="shared" si="10"/>
        <v>180.57000000000002</v>
      </c>
      <c r="T17" s="2">
        <v>80</v>
      </c>
      <c r="V17" s="3">
        <v>55</v>
      </c>
      <c r="W17" s="17">
        <v>74.09</v>
      </c>
      <c r="X17" s="4">
        <f t="shared" si="7"/>
        <v>61.67</v>
      </c>
      <c r="Y17" s="2">
        <v>70</v>
      </c>
      <c r="AA17" s="3">
        <v>60</v>
      </c>
      <c r="AB17" s="17">
        <v>89.95</v>
      </c>
      <c r="AC17" s="4">
        <f t="shared" si="11"/>
        <v>77.53</v>
      </c>
      <c r="AD17" s="2">
        <v>55</v>
      </c>
      <c r="AF17" s="3">
        <v>55</v>
      </c>
      <c r="AG17" s="17">
        <v>85.75</v>
      </c>
      <c r="AH17" s="4">
        <f t="shared" si="12"/>
        <v>73.33</v>
      </c>
      <c r="AI17" s="2">
        <v>65</v>
      </c>
      <c r="AK17" s="3">
        <v>55</v>
      </c>
      <c r="AL17" s="17">
        <v>222.77</v>
      </c>
      <c r="AM17" s="4">
        <f t="shared" si="5"/>
        <v>210.35000000000002</v>
      </c>
      <c r="AN17" s="2">
        <v>80</v>
      </c>
    </row>
    <row r="18" spans="2:40">
      <c r="B18" s="3">
        <v>60</v>
      </c>
      <c r="C18" s="1">
        <v>27.51</v>
      </c>
      <c r="D18" s="4">
        <f t="shared" si="6"/>
        <v>15.090000000000002</v>
      </c>
      <c r="E18" s="2">
        <v>73.900000000000006</v>
      </c>
      <c r="G18" s="3">
        <v>70</v>
      </c>
      <c r="H18" s="17">
        <v>47.64</v>
      </c>
      <c r="I18" s="4">
        <f t="shared" si="0"/>
        <v>35.22</v>
      </c>
      <c r="J18" s="2">
        <v>55</v>
      </c>
      <c r="L18" s="3">
        <v>60</v>
      </c>
      <c r="M18" s="17">
        <v>37.93</v>
      </c>
      <c r="N18" s="4">
        <f t="shared" si="1"/>
        <v>25.509999999999998</v>
      </c>
      <c r="O18" s="2">
        <v>65</v>
      </c>
      <c r="Q18" s="3">
        <v>60</v>
      </c>
      <c r="R18" s="17">
        <v>186.7</v>
      </c>
      <c r="S18" s="4">
        <f t="shared" si="10"/>
        <v>174.28</v>
      </c>
      <c r="T18" s="2">
        <v>80</v>
      </c>
      <c r="V18" s="3">
        <v>60</v>
      </c>
      <c r="W18" s="17">
        <v>69.959999999999994</v>
      </c>
      <c r="X18" s="4">
        <f t="shared" si="7"/>
        <v>57.539999999999992</v>
      </c>
      <c r="Y18" s="2">
        <v>70</v>
      </c>
      <c r="Z18" s="2"/>
      <c r="AA18" s="3">
        <v>65</v>
      </c>
      <c r="AB18" s="17">
        <v>85.85</v>
      </c>
      <c r="AC18" s="4">
        <f t="shared" si="11"/>
        <v>73.429999999999993</v>
      </c>
      <c r="AD18" s="2">
        <v>55</v>
      </c>
      <c r="AF18" s="3">
        <v>60</v>
      </c>
      <c r="AG18" s="17">
        <v>81.13</v>
      </c>
      <c r="AH18" s="4">
        <f t="shared" si="12"/>
        <v>68.709999999999994</v>
      </c>
      <c r="AI18" s="2">
        <v>65</v>
      </c>
      <c r="AK18" s="3">
        <v>60</v>
      </c>
      <c r="AL18" s="17">
        <v>217.52</v>
      </c>
      <c r="AM18" s="4">
        <f t="shared" si="5"/>
        <v>205.10000000000002</v>
      </c>
      <c r="AN18" s="2">
        <v>80</v>
      </c>
    </row>
    <row r="19" spans="2:40">
      <c r="B19" s="3">
        <v>65</v>
      </c>
      <c r="C19" s="1">
        <v>26.08</v>
      </c>
      <c r="D19" s="4">
        <f t="shared" si="6"/>
        <v>13.659999999999998</v>
      </c>
      <c r="E19" s="2">
        <v>74.099999999999994</v>
      </c>
      <c r="G19" s="3">
        <v>80</v>
      </c>
      <c r="H19" s="17">
        <v>43.24</v>
      </c>
      <c r="I19" s="4">
        <f t="shared" si="0"/>
        <v>30.82</v>
      </c>
      <c r="J19" s="2">
        <v>55</v>
      </c>
      <c r="L19" s="3">
        <v>65</v>
      </c>
      <c r="M19" s="17">
        <v>36.340000000000003</v>
      </c>
      <c r="N19" s="4">
        <f t="shared" si="1"/>
        <v>23.92</v>
      </c>
      <c r="O19" s="2">
        <v>65</v>
      </c>
      <c r="Q19" s="3">
        <v>65</v>
      </c>
      <c r="R19" s="17">
        <v>182.69</v>
      </c>
      <c r="S19" s="4">
        <f t="shared" si="10"/>
        <v>170.27</v>
      </c>
      <c r="T19" s="9" t="s">
        <v>12</v>
      </c>
      <c r="V19" s="3">
        <v>65</v>
      </c>
      <c r="W19" s="17">
        <v>66.349999999999994</v>
      </c>
      <c r="X19" s="4">
        <f t="shared" si="7"/>
        <v>53.929999999999993</v>
      </c>
      <c r="Y19" s="2">
        <v>70</v>
      </c>
      <c r="AA19" s="3">
        <v>70</v>
      </c>
      <c r="AB19" s="17">
        <v>82.35</v>
      </c>
      <c r="AC19" s="4">
        <f t="shared" si="11"/>
        <v>69.929999999999993</v>
      </c>
      <c r="AD19" s="2">
        <v>55</v>
      </c>
      <c r="AF19" s="3">
        <v>65</v>
      </c>
      <c r="AG19" s="17">
        <v>76.8</v>
      </c>
      <c r="AH19" s="4">
        <f t="shared" si="12"/>
        <v>64.38</v>
      </c>
      <c r="AI19" s="2">
        <v>65</v>
      </c>
      <c r="AK19" s="3">
        <v>65</v>
      </c>
      <c r="AL19" s="17">
        <v>212.18</v>
      </c>
      <c r="AM19" s="4">
        <f t="shared" si="5"/>
        <v>199.76000000000002</v>
      </c>
      <c r="AN19" s="9" t="s">
        <v>12</v>
      </c>
    </row>
    <row r="20" spans="2:40">
      <c r="B20" s="3">
        <v>70</v>
      </c>
      <c r="C20" s="1">
        <v>24.96</v>
      </c>
      <c r="D20" s="4">
        <f t="shared" si="6"/>
        <v>12.540000000000001</v>
      </c>
      <c r="E20" s="2">
        <v>74.3</v>
      </c>
      <c r="G20" s="3">
        <v>90</v>
      </c>
      <c r="H20" s="17">
        <v>39.75</v>
      </c>
      <c r="I20" s="4">
        <f t="shared" si="0"/>
        <v>27.33</v>
      </c>
      <c r="J20" s="2">
        <v>55</v>
      </c>
      <c r="L20" s="3">
        <v>70</v>
      </c>
      <c r="M20" s="27" t="s">
        <v>8</v>
      </c>
      <c r="N20" s="27"/>
      <c r="O20" s="28"/>
      <c r="Q20" s="3">
        <v>70</v>
      </c>
      <c r="R20" s="17">
        <v>178.33</v>
      </c>
      <c r="S20" s="4">
        <f t="shared" ref="S20" si="13">R20-12.42</f>
        <v>165.91000000000003</v>
      </c>
      <c r="T20" s="2">
        <v>65</v>
      </c>
      <c r="V20" s="3">
        <v>70</v>
      </c>
      <c r="W20" s="17">
        <v>62.42</v>
      </c>
      <c r="X20" s="4">
        <f t="shared" si="7"/>
        <v>50</v>
      </c>
      <c r="Y20" s="2">
        <v>70</v>
      </c>
      <c r="AA20" s="3">
        <v>75</v>
      </c>
      <c r="AB20" s="17">
        <v>78.91</v>
      </c>
      <c r="AC20" s="4">
        <f t="shared" si="11"/>
        <v>66.489999999999995</v>
      </c>
      <c r="AD20" s="2">
        <v>55</v>
      </c>
      <c r="AF20" s="3">
        <v>70</v>
      </c>
      <c r="AG20" s="17">
        <v>76.209999999999994</v>
      </c>
      <c r="AH20" s="4">
        <f t="shared" si="12"/>
        <v>63.789999999999992</v>
      </c>
      <c r="AI20" s="26" t="s">
        <v>26</v>
      </c>
      <c r="AK20" s="3">
        <v>70</v>
      </c>
      <c r="AL20" s="17">
        <v>207.52</v>
      </c>
      <c r="AM20" s="4">
        <f t="shared" si="5"/>
        <v>195.10000000000002</v>
      </c>
      <c r="AN20" s="2">
        <v>65</v>
      </c>
    </row>
    <row r="21" spans="2:40">
      <c r="B21" s="3">
        <v>75</v>
      </c>
      <c r="C21" s="1">
        <v>24.03</v>
      </c>
      <c r="D21" s="4">
        <f t="shared" si="6"/>
        <v>11.610000000000001</v>
      </c>
      <c r="E21" s="2">
        <v>74.5</v>
      </c>
      <c r="G21" s="3">
        <v>100</v>
      </c>
      <c r="H21" s="17">
        <v>36.65</v>
      </c>
      <c r="I21" s="4">
        <f t="shared" si="0"/>
        <v>24.229999999999997</v>
      </c>
      <c r="J21" s="2">
        <v>55</v>
      </c>
      <c r="L21" s="3">
        <v>75</v>
      </c>
      <c r="M21" s="17">
        <v>33.840000000000003</v>
      </c>
      <c r="N21" s="4">
        <f t="shared" si="1"/>
        <v>21.42</v>
      </c>
      <c r="O21" s="2">
        <v>55</v>
      </c>
      <c r="Q21" s="3">
        <v>75</v>
      </c>
      <c r="R21" s="17">
        <v>174.8</v>
      </c>
      <c r="S21" s="4">
        <f t="shared" ref="S21:S50" si="14">R21-12.42</f>
        <v>162.38000000000002</v>
      </c>
      <c r="T21" s="2">
        <v>65</v>
      </c>
      <c r="V21" s="3">
        <v>75</v>
      </c>
      <c r="W21" s="17">
        <v>59.14</v>
      </c>
      <c r="X21" s="4">
        <f t="shared" si="7"/>
        <v>46.72</v>
      </c>
      <c r="Y21" s="2">
        <v>70</v>
      </c>
      <c r="AA21" s="3">
        <v>80</v>
      </c>
      <c r="AB21" s="17">
        <v>75.05</v>
      </c>
      <c r="AC21" s="4">
        <f t="shared" si="11"/>
        <v>62.629999999999995</v>
      </c>
      <c r="AD21" s="2">
        <v>55</v>
      </c>
      <c r="AF21" s="3">
        <v>75</v>
      </c>
      <c r="AG21" s="17">
        <v>72.650000000000006</v>
      </c>
      <c r="AH21" s="4">
        <f t="shared" ref="AH21:AH34" si="15">AG21-12.42</f>
        <v>60.230000000000004</v>
      </c>
      <c r="AI21" s="2">
        <v>55</v>
      </c>
      <c r="AK21" s="3">
        <v>75</v>
      </c>
      <c r="AL21" s="17">
        <v>203.24</v>
      </c>
      <c r="AM21" s="4">
        <f t="shared" si="5"/>
        <v>190.82000000000002</v>
      </c>
      <c r="AN21" s="2">
        <v>65</v>
      </c>
    </row>
    <row r="22" spans="2:40">
      <c r="B22" s="3">
        <v>80</v>
      </c>
      <c r="C22" s="1">
        <v>23.39</v>
      </c>
      <c r="D22" s="4">
        <f t="shared" si="6"/>
        <v>10.97</v>
      </c>
      <c r="E22" s="2">
        <v>74.7</v>
      </c>
      <c r="G22" s="3">
        <v>110</v>
      </c>
      <c r="H22" s="17">
        <v>33.99</v>
      </c>
      <c r="I22" s="4">
        <f t="shared" si="0"/>
        <v>21.57</v>
      </c>
      <c r="J22" s="2">
        <v>55</v>
      </c>
      <c r="L22" s="3">
        <v>80</v>
      </c>
      <c r="M22" s="17">
        <v>32.42</v>
      </c>
      <c r="N22" s="4">
        <f t="shared" si="1"/>
        <v>20</v>
      </c>
      <c r="O22" s="2">
        <v>55</v>
      </c>
      <c r="Q22" s="3">
        <v>80</v>
      </c>
      <c r="R22" s="17">
        <v>171.13</v>
      </c>
      <c r="S22" s="4">
        <f t="shared" si="14"/>
        <v>158.71</v>
      </c>
      <c r="T22" s="2">
        <v>65</v>
      </c>
      <c r="V22" s="3">
        <v>80</v>
      </c>
      <c r="W22" s="17">
        <v>55.91</v>
      </c>
      <c r="X22" s="4">
        <f t="shared" si="7"/>
        <v>43.489999999999995</v>
      </c>
      <c r="Y22" s="2">
        <v>70</v>
      </c>
      <c r="AA22" s="3">
        <v>85</v>
      </c>
      <c r="AB22" s="17">
        <v>72.17</v>
      </c>
      <c r="AC22" s="4">
        <f t="shared" si="11"/>
        <v>59.75</v>
      </c>
      <c r="AD22" s="2">
        <v>55</v>
      </c>
      <c r="AF22" s="3">
        <v>80</v>
      </c>
      <c r="AG22" s="17">
        <v>69.22</v>
      </c>
      <c r="AH22" s="4">
        <f t="shared" si="15"/>
        <v>56.8</v>
      </c>
      <c r="AI22" s="2">
        <v>55</v>
      </c>
      <c r="AK22" s="3">
        <v>80</v>
      </c>
      <c r="AL22" s="17">
        <v>199.1</v>
      </c>
      <c r="AM22" s="4">
        <f t="shared" si="5"/>
        <v>186.68</v>
      </c>
      <c r="AN22" s="2">
        <v>65</v>
      </c>
    </row>
    <row r="23" spans="2:40">
      <c r="B23" s="3">
        <v>85</v>
      </c>
      <c r="C23" s="1">
        <v>22.81</v>
      </c>
      <c r="D23" s="4">
        <f t="shared" si="6"/>
        <v>10.389999999999999</v>
      </c>
      <c r="E23" s="2">
        <v>70</v>
      </c>
      <c r="G23" s="3">
        <v>120</v>
      </c>
      <c r="H23" s="17">
        <v>32.03</v>
      </c>
      <c r="I23" s="4">
        <f t="shared" si="0"/>
        <v>19.61</v>
      </c>
      <c r="J23" s="2">
        <v>55</v>
      </c>
      <c r="L23" s="3">
        <v>85</v>
      </c>
      <c r="M23" s="17">
        <v>31.07</v>
      </c>
      <c r="N23" s="4">
        <f t="shared" si="1"/>
        <v>18.649999999999999</v>
      </c>
      <c r="O23" s="2">
        <v>55</v>
      </c>
      <c r="Q23" s="3">
        <v>85</v>
      </c>
      <c r="R23" s="17">
        <v>168.18</v>
      </c>
      <c r="S23" s="4">
        <f t="shared" si="14"/>
        <v>155.76000000000002</v>
      </c>
      <c r="T23" s="2">
        <v>65</v>
      </c>
      <c r="V23" s="3">
        <v>85</v>
      </c>
      <c r="W23" s="17">
        <v>52.7</v>
      </c>
      <c r="X23" s="4">
        <f t="shared" si="7"/>
        <v>40.28</v>
      </c>
      <c r="Y23" s="2">
        <v>70</v>
      </c>
      <c r="AA23" s="3">
        <v>90</v>
      </c>
      <c r="AB23" s="17">
        <v>69.17</v>
      </c>
      <c r="AC23" s="4">
        <f t="shared" si="11"/>
        <v>56.75</v>
      </c>
      <c r="AD23" s="2">
        <v>55</v>
      </c>
      <c r="AF23" s="3">
        <v>85</v>
      </c>
      <c r="AG23" s="17">
        <v>66.42</v>
      </c>
      <c r="AH23" s="4">
        <f t="shared" si="15"/>
        <v>54</v>
      </c>
      <c r="AI23" s="2">
        <v>55</v>
      </c>
      <c r="AK23" s="3">
        <v>85</v>
      </c>
      <c r="AL23" s="17">
        <v>195.16</v>
      </c>
      <c r="AM23" s="4">
        <f t="shared" si="5"/>
        <v>182.74</v>
      </c>
      <c r="AN23" s="2">
        <v>65</v>
      </c>
    </row>
    <row r="24" spans="2:40">
      <c r="B24" s="3">
        <v>90</v>
      </c>
      <c r="C24" s="1">
        <v>22.43</v>
      </c>
      <c r="D24" s="4">
        <f t="shared" si="6"/>
        <v>10.01</v>
      </c>
      <c r="E24" s="2">
        <v>70</v>
      </c>
      <c r="G24" s="3">
        <v>130</v>
      </c>
      <c r="H24" s="17">
        <v>30.41</v>
      </c>
      <c r="I24" s="4">
        <f t="shared" si="0"/>
        <v>17.990000000000002</v>
      </c>
      <c r="J24" s="2">
        <v>55</v>
      </c>
      <c r="L24" s="3">
        <v>95</v>
      </c>
      <c r="M24" s="17">
        <v>29.06</v>
      </c>
      <c r="N24" s="4">
        <f t="shared" si="1"/>
        <v>16.64</v>
      </c>
      <c r="O24" s="2">
        <v>55</v>
      </c>
      <c r="Q24" s="3">
        <v>90</v>
      </c>
      <c r="R24" s="17">
        <v>163.91</v>
      </c>
      <c r="S24" s="4">
        <f t="shared" si="14"/>
        <v>151.49</v>
      </c>
      <c r="T24" s="2">
        <v>65</v>
      </c>
      <c r="V24" s="3">
        <v>90</v>
      </c>
      <c r="W24" s="17">
        <v>50.29</v>
      </c>
      <c r="X24" s="4">
        <f t="shared" si="7"/>
        <v>37.869999999999997</v>
      </c>
      <c r="Y24" s="2">
        <v>70</v>
      </c>
      <c r="AA24" s="3">
        <v>95</v>
      </c>
      <c r="AB24" s="17">
        <v>66.2</v>
      </c>
      <c r="AC24" s="4">
        <f t="shared" si="11"/>
        <v>53.78</v>
      </c>
      <c r="AD24" s="2">
        <v>55</v>
      </c>
      <c r="AF24" s="3">
        <v>90</v>
      </c>
      <c r="AG24" s="17">
        <v>63.79</v>
      </c>
      <c r="AH24" s="4">
        <f t="shared" si="15"/>
        <v>51.37</v>
      </c>
      <c r="AI24" s="2">
        <v>55</v>
      </c>
      <c r="AK24" s="3">
        <v>90</v>
      </c>
      <c r="AL24" s="17">
        <v>190.79</v>
      </c>
      <c r="AM24" s="4">
        <f t="shared" si="5"/>
        <v>178.37</v>
      </c>
      <c r="AN24" s="2">
        <v>65</v>
      </c>
    </row>
    <row r="25" spans="2:40">
      <c r="B25" s="3">
        <v>95</v>
      </c>
      <c r="C25" s="1">
        <v>22.18</v>
      </c>
      <c r="D25" s="4">
        <f t="shared" si="6"/>
        <v>9.76</v>
      </c>
      <c r="E25" s="2">
        <v>70</v>
      </c>
      <c r="G25" s="3">
        <v>140</v>
      </c>
      <c r="H25" s="17">
        <v>29.13</v>
      </c>
      <c r="I25" s="4">
        <f t="shared" si="0"/>
        <v>16.71</v>
      </c>
      <c r="J25" s="2">
        <v>55</v>
      </c>
      <c r="L25" s="3">
        <v>105</v>
      </c>
      <c r="M25" s="17">
        <v>27.27</v>
      </c>
      <c r="N25" s="4">
        <f t="shared" si="1"/>
        <v>14.85</v>
      </c>
      <c r="O25" s="2">
        <v>55</v>
      </c>
      <c r="Q25" s="3">
        <v>95</v>
      </c>
      <c r="R25" s="17">
        <v>160.30000000000001</v>
      </c>
      <c r="S25" s="4">
        <f t="shared" si="14"/>
        <v>147.88000000000002</v>
      </c>
      <c r="T25" s="2">
        <v>65</v>
      </c>
      <c r="V25" s="3">
        <v>95</v>
      </c>
      <c r="W25" s="17">
        <v>47.76</v>
      </c>
      <c r="X25" s="4">
        <f t="shared" si="7"/>
        <v>35.339999999999996</v>
      </c>
      <c r="Y25" s="2">
        <v>70</v>
      </c>
      <c r="AA25" s="3">
        <v>105</v>
      </c>
      <c r="AB25" s="17">
        <v>60.52</v>
      </c>
      <c r="AC25" s="4">
        <f t="shared" si="11"/>
        <v>48.1</v>
      </c>
      <c r="AD25" s="2">
        <v>55</v>
      </c>
      <c r="AF25" s="3">
        <v>95</v>
      </c>
      <c r="AG25" s="17">
        <v>61.39</v>
      </c>
      <c r="AH25" s="4">
        <f t="shared" si="15"/>
        <v>48.97</v>
      </c>
      <c r="AI25" s="2">
        <v>55</v>
      </c>
      <c r="AK25" s="3">
        <v>95</v>
      </c>
      <c r="AL25" s="17">
        <v>186.14</v>
      </c>
      <c r="AM25" s="4">
        <f t="shared" si="5"/>
        <v>173.72</v>
      </c>
      <c r="AN25" s="2">
        <v>65</v>
      </c>
    </row>
    <row r="26" spans="2:40">
      <c r="B26" s="3">
        <v>100</v>
      </c>
      <c r="C26" s="1">
        <v>22.01</v>
      </c>
      <c r="D26" s="4">
        <f t="shared" si="6"/>
        <v>9.5900000000000016</v>
      </c>
      <c r="E26" s="2">
        <v>70</v>
      </c>
      <c r="G26" s="3">
        <v>150</v>
      </c>
      <c r="H26" s="17">
        <v>28.21</v>
      </c>
      <c r="I26" s="4">
        <f t="shared" si="0"/>
        <v>15.790000000000001</v>
      </c>
      <c r="J26" s="2">
        <v>55</v>
      </c>
      <c r="L26" s="3">
        <v>115</v>
      </c>
      <c r="M26" s="17">
        <v>25.87</v>
      </c>
      <c r="N26" s="4">
        <f t="shared" si="1"/>
        <v>13.450000000000001</v>
      </c>
      <c r="O26" s="2">
        <v>55</v>
      </c>
      <c r="Q26" s="3">
        <v>100</v>
      </c>
      <c r="R26" s="17">
        <v>156.69999999999999</v>
      </c>
      <c r="S26" s="4">
        <f t="shared" si="14"/>
        <v>144.28</v>
      </c>
      <c r="T26" s="2">
        <v>65</v>
      </c>
      <c r="V26" s="3">
        <v>100</v>
      </c>
      <c r="W26" s="17">
        <v>45.45</v>
      </c>
      <c r="X26" s="4">
        <f t="shared" si="7"/>
        <v>33.03</v>
      </c>
      <c r="Y26" s="2">
        <v>70</v>
      </c>
      <c r="AA26" s="3">
        <v>115</v>
      </c>
      <c r="AB26" s="17">
        <v>55.55</v>
      </c>
      <c r="AC26" s="4">
        <f t="shared" si="11"/>
        <v>43.129999999999995</v>
      </c>
      <c r="AD26" s="2">
        <v>55</v>
      </c>
      <c r="AF26" s="3">
        <v>100</v>
      </c>
      <c r="AG26" s="17">
        <v>58.94</v>
      </c>
      <c r="AH26" s="4">
        <f t="shared" si="15"/>
        <v>46.519999999999996</v>
      </c>
      <c r="AI26" s="2">
        <v>55</v>
      </c>
      <c r="AK26" s="3">
        <v>100</v>
      </c>
      <c r="AL26" s="17">
        <v>182.1</v>
      </c>
      <c r="AM26" s="4">
        <f t="shared" si="5"/>
        <v>169.68</v>
      </c>
      <c r="AN26" s="2">
        <v>65</v>
      </c>
    </row>
    <row r="27" spans="2:40">
      <c r="B27" s="3">
        <v>110</v>
      </c>
      <c r="C27" s="1">
        <v>21.75</v>
      </c>
      <c r="D27" s="4">
        <f t="shared" si="6"/>
        <v>9.33</v>
      </c>
      <c r="E27" s="2">
        <v>70</v>
      </c>
      <c r="G27" s="3">
        <v>160</v>
      </c>
      <c r="H27" s="17">
        <v>27.48</v>
      </c>
      <c r="I27" s="4">
        <f t="shared" si="0"/>
        <v>15.06</v>
      </c>
      <c r="J27" s="2">
        <v>55</v>
      </c>
      <c r="L27" s="3">
        <v>125</v>
      </c>
      <c r="M27" s="17">
        <v>24.92</v>
      </c>
      <c r="N27" s="4">
        <f t="shared" si="1"/>
        <v>12.500000000000002</v>
      </c>
      <c r="O27" s="2">
        <v>55</v>
      </c>
      <c r="Q27" s="3">
        <v>105</v>
      </c>
      <c r="R27" s="17">
        <v>153.35</v>
      </c>
      <c r="S27" s="4">
        <f t="shared" si="14"/>
        <v>140.93</v>
      </c>
      <c r="T27" s="2">
        <v>65</v>
      </c>
      <c r="V27" s="3">
        <v>110</v>
      </c>
      <c r="W27" s="17">
        <v>41.96</v>
      </c>
      <c r="X27" s="4">
        <f t="shared" si="7"/>
        <v>29.54</v>
      </c>
      <c r="Y27" s="2">
        <v>70</v>
      </c>
      <c r="AA27" s="3">
        <v>125</v>
      </c>
      <c r="AB27" s="17">
        <v>51.14</v>
      </c>
      <c r="AC27" s="4">
        <f t="shared" si="11"/>
        <v>38.72</v>
      </c>
      <c r="AD27" s="2">
        <v>55</v>
      </c>
      <c r="AF27" s="3">
        <v>105</v>
      </c>
      <c r="AG27" s="17">
        <v>56.85</v>
      </c>
      <c r="AH27" s="4">
        <f t="shared" si="15"/>
        <v>44.43</v>
      </c>
      <c r="AI27" s="2">
        <v>55</v>
      </c>
      <c r="AK27" s="3">
        <v>105</v>
      </c>
      <c r="AL27" s="17">
        <v>179.17</v>
      </c>
      <c r="AM27" s="4">
        <f t="shared" si="5"/>
        <v>166.75</v>
      </c>
      <c r="AN27" s="2">
        <v>65</v>
      </c>
    </row>
    <row r="28" spans="2:40">
      <c r="B28" s="3">
        <v>120</v>
      </c>
      <c r="C28" s="1">
        <v>21.6</v>
      </c>
      <c r="D28" s="4">
        <f t="shared" si="6"/>
        <v>9.1800000000000015</v>
      </c>
      <c r="E28" s="2">
        <v>70</v>
      </c>
      <c r="G28" s="3">
        <v>170</v>
      </c>
      <c r="H28" s="17">
        <v>27</v>
      </c>
      <c r="I28" s="4">
        <f t="shared" si="0"/>
        <v>14.58</v>
      </c>
      <c r="J28" s="2">
        <v>55</v>
      </c>
      <c r="L28" s="3">
        <v>135</v>
      </c>
      <c r="M28" s="17">
        <v>24.36</v>
      </c>
      <c r="N28" s="4">
        <f t="shared" si="1"/>
        <v>11.94</v>
      </c>
      <c r="O28" s="2">
        <v>55</v>
      </c>
      <c r="Q28" s="3">
        <v>110</v>
      </c>
      <c r="R28" s="17">
        <v>150.01</v>
      </c>
      <c r="S28" s="4">
        <f t="shared" si="14"/>
        <v>137.59</v>
      </c>
      <c r="T28" s="2">
        <v>65</v>
      </c>
      <c r="V28" s="3">
        <v>120</v>
      </c>
      <c r="W28" s="17">
        <v>39.06</v>
      </c>
      <c r="X28" s="4">
        <f t="shared" si="7"/>
        <v>26.64</v>
      </c>
      <c r="Y28" s="2">
        <v>70</v>
      </c>
      <c r="AA28" s="3">
        <v>135</v>
      </c>
      <c r="AB28" s="17">
        <v>47.74</v>
      </c>
      <c r="AC28" s="4">
        <f t="shared" si="11"/>
        <v>35.32</v>
      </c>
      <c r="AD28" s="2">
        <v>55</v>
      </c>
      <c r="AF28" s="3">
        <v>110</v>
      </c>
      <c r="AG28" s="17">
        <v>55.13</v>
      </c>
      <c r="AH28" s="4">
        <f t="shared" si="15"/>
        <v>42.71</v>
      </c>
      <c r="AI28" s="2">
        <v>55</v>
      </c>
      <c r="AK28" s="3">
        <v>110</v>
      </c>
      <c r="AL28" s="17">
        <v>175.68</v>
      </c>
      <c r="AM28" s="4">
        <f t="shared" si="5"/>
        <v>163.26000000000002</v>
      </c>
      <c r="AN28" s="2">
        <v>65</v>
      </c>
    </row>
    <row r="29" spans="2:40">
      <c r="B29" s="3">
        <v>130</v>
      </c>
      <c r="C29" s="1">
        <v>21.55</v>
      </c>
      <c r="D29" s="4">
        <f t="shared" si="6"/>
        <v>9.1300000000000008</v>
      </c>
      <c r="E29" s="2">
        <v>70</v>
      </c>
      <c r="G29" s="3">
        <v>180</v>
      </c>
      <c r="H29" s="17">
        <v>26.57</v>
      </c>
      <c r="I29" s="4">
        <f t="shared" si="0"/>
        <v>14.15</v>
      </c>
      <c r="J29" s="2">
        <v>55</v>
      </c>
      <c r="L29" s="3">
        <v>145</v>
      </c>
      <c r="M29" s="17">
        <v>23.95</v>
      </c>
      <c r="N29" s="4">
        <f t="shared" si="1"/>
        <v>11.53</v>
      </c>
      <c r="O29" s="2">
        <v>55</v>
      </c>
      <c r="Q29" s="3">
        <v>115</v>
      </c>
      <c r="R29" s="17">
        <v>147.49</v>
      </c>
      <c r="S29" s="4">
        <f t="shared" si="14"/>
        <v>135.07000000000002</v>
      </c>
      <c r="T29" s="2">
        <v>65</v>
      </c>
      <c r="V29" s="3">
        <v>130</v>
      </c>
      <c r="W29" s="17">
        <v>36.6</v>
      </c>
      <c r="X29" s="4">
        <f t="shared" si="7"/>
        <v>24.18</v>
      </c>
      <c r="Y29" s="2">
        <v>70</v>
      </c>
      <c r="Z29" s="2"/>
      <c r="AA29" s="3">
        <v>145</v>
      </c>
      <c r="AB29" s="17">
        <v>44.49</v>
      </c>
      <c r="AC29" s="4">
        <f t="shared" si="11"/>
        <v>32.07</v>
      </c>
      <c r="AD29" s="2">
        <v>55</v>
      </c>
      <c r="AF29" s="3">
        <v>120</v>
      </c>
      <c r="AG29" s="17">
        <v>51.55</v>
      </c>
      <c r="AH29" s="4">
        <f t="shared" si="15"/>
        <v>39.129999999999995</v>
      </c>
      <c r="AI29" s="2">
        <v>55</v>
      </c>
      <c r="AK29" s="3">
        <v>115</v>
      </c>
      <c r="AL29" s="17">
        <v>172.2</v>
      </c>
      <c r="AM29" s="4">
        <f t="shared" si="5"/>
        <v>159.78</v>
      </c>
      <c r="AN29" s="2">
        <v>65</v>
      </c>
    </row>
    <row r="30" spans="2:40">
      <c r="B30" s="3">
        <v>140</v>
      </c>
      <c r="C30" s="1">
        <v>21.52</v>
      </c>
      <c r="D30" s="4">
        <f t="shared" si="6"/>
        <v>9.1</v>
      </c>
      <c r="E30" s="2">
        <v>70</v>
      </c>
      <c r="G30" s="3">
        <v>190</v>
      </c>
      <c r="H30" s="17">
        <v>26.39</v>
      </c>
      <c r="I30" s="4">
        <f t="shared" si="0"/>
        <v>13.97</v>
      </c>
      <c r="J30" s="2">
        <v>55</v>
      </c>
      <c r="L30" s="3">
        <v>155</v>
      </c>
      <c r="M30" s="17">
        <v>23.61</v>
      </c>
      <c r="N30" s="4">
        <f t="shared" si="1"/>
        <v>11.19</v>
      </c>
      <c r="O30" s="2">
        <v>55</v>
      </c>
      <c r="Q30" s="3">
        <v>120</v>
      </c>
      <c r="R30" s="17">
        <v>144.58000000000001</v>
      </c>
      <c r="S30" s="4">
        <f t="shared" si="14"/>
        <v>132.16000000000003</v>
      </c>
      <c r="T30" s="2">
        <v>65</v>
      </c>
      <c r="V30" s="3">
        <v>140</v>
      </c>
      <c r="W30" s="17">
        <v>34.94</v>
      </c>
      <c r="X30" s="4">
        <f t="shared" si="7"/>
        <v>22.519999999999996</v>
      </c>
      <c r="Y30" s="2">
        <v>70</v>
      </c>
      <c r="AA30" s="3">
        <v>155</v>
      </c>
      <c r="AB30" s="17">
        <v>42.03</v>
      </c>
      <c r="AC30" s="4">
        <f t="shared" si="11"/>
        <v>29.61</v>
      </c>
      <c r="AD30" s="2">
        <v>55</v>
      </c>
      <c r="AF30" s="3">
        <v>130</v>
      </c>
      <c r="AG30" s="17">
        <v>48.13</v>
      </c>
      <c r="AH30" s="4">
        <f t="shared" si="15"/>
        <v>35.71</v>
      </c>
      <c r="AI30" s="2">
        <v>55</v>
      </c>
      <c r="AK30" s="3">
        <v>120</v>
      </c>
      <c r="AL30" s="17">
        <v>168.63</v>
      </c>
      <c r="AM30" s="4">
        <f t="shared" si="5"/>
        <v>156.21</v>
      </c>
      <c r="AN30" s="2">
        <v>65</v>
      </c>
    </row>
    <row r="31" spans="2:40">
      <c r="B31" s="3">
        <v>150</v>
      </c>
      <c r="C31" s="1">
        <v>21.49</v>
      </c>
      <c r="D31" s="4">
        <f t="shared" si="6"/>
        <v>9.0699999999999985</v>
      </c>
      <c r="E31" s="2">
        <v>70</v>
      </c>
      <c r="G31" s="3">
        <v>200</v>
      </c>
      <c r="H31" s="17">
        <v>26.22</v>
      </c>
      <c r="I31" s="4">
        <f t="shared" si="0"/>
        <v>13.799999999999999</v>
      </c>
      <c r="J31" s="2">
        <v>55</v>
      </c>
      <c r="L31" s="3">
        <v>165</v>
      </c>
      <c r="M31" s="17">
        <v>23.38</v>
      </c>
      <c r="N31" s="4">
        <f t="shared" si="1"/>
        <v>10.959999999999999</v>
      </c>
      <c r="O31" s="2">
        <v>55</v>
      </c>
      <c r="Q31" s="3">
        <v>125</v>
      </c>
      <c r="R31" s="17">
        <v>141.1</v>
      </c>
      <c r="S31" s="4">
        <f t="shared" si="14"/>
        <v>128.68</v>
      </c>
      <c r="T31" s="2">
        <v>65</v>
      </c>
      <c r="V31" s="3">
        <v>150</v>
      </c>
      <c r="W31" s="17">
        <v>33.549999999999997</v>
      </c>
      <c r="X31" s="4">
        <f t="shared" si="7"/>
        <v>21.129999999999995</v>
      </c>
      <c r="Y31" s="2">
        <v>70</v>
      </c>
      <c r="AA31" s="3">
        <v>165</v>
      </c>
      <c r="AB31" s="17">
        <v>39.840000000000003</v>
      </c>
      <c r="AC31" s="4">
        <f t="shared" si="11"/>
        <v>27.42</v>
      </c>
      <c r="AD31" s="2">
        <v>55</v>
      </c>
      <c r="AF31" s="3">
        <v>140</v>
      </c>
      <c r="AG31" s="17">
        <v>45.3</v>
      </c>
      <c r="AH31" s="4">
        <f t="shared" si="15"/>
        <v>32.879999999999995</v>
      </c>
      <c r="AI31" s="2">
        <v>55</v>
      </c>
      <c r="AK31" s="3">
        <v>125</v>
      </c>
      <c r="AL31" s="17">
        <v>165.38</v>
      </c>
      <c r="AM31" s="4">
        <f t="shared" si="5"/>
        <v>152.96</v>
      </c>
      <c r="AN31" s="2">
        <v>65</v>
      </c>
    </row>
    <row r="32" spans="2:40">
      <c r="B32" s="3">
        <v>160</v>
      </c>
      <c r="C32" s="1">
        <v>21.47</v>
      </c>
      <c r="D32" s="4">
        <f t="shared" si="6"/>
        <v>9.0499999999999989</v>
      </c>
      <c r="E32" s="2">
        <v>70</v>
      </c>
      <c r="G32" s="3">
        <v>210</v>
      </c>
      <c r="H32" s="17">
        <v>26.15</v>
      </c>
      <c r="I32" s="4">
        <f t="shared" si="0"/>
        <v>13.729999999999999</v>
      </c>
      <c r="J32" s="2">
        <v>55</v>
      </c>
      <c r="L32" s="3">
        <v>175</v>
      </c>
      <c r="M32" s="17">
        <v>23.28</v>
      </c>
      <c r="N32" s="4">
        <f t="shared" si="1"/>
        <v>10.860000000000001</v>
      </c>
      <c r="O32" s="2">
        <v>55</v>
      </c>
      <c r="Q32" s="3">
        <v>130</v>
      </c>
      <c r="R32" s="17">
        <v>138.11000000000001</v>
      </c>
      <c r="S32" s="4">
        <f t="shared" si="14"/>
        <v>125.69000000000001</v>
      </c>
      <c r="T32" s="2">
        <v>65</v>
      </c>
      <c r="V32" s="3">
        <v>160</v>
      </c>
      <c r="W32" s="17">
        <v>32.729999999999997</v>
      </c>
      <c r="X32" s="4">
        <f t="shared" si="7"/>
        <v>20.309999999999995</v>
      </c>
      <c r="Y32" s="2">
        <v>70</v>
      </c>
      <c r="AA32" s="3">
        <v>175</v>
      </c>
      <c r="AB32" s="17">
        <v>37.97</v>
      </c>
      <c r="AC32" s="4">
        <f t="shared" si="11"/>
        <v>25.549999999999997</v>
      </c>
      <c r="AD32" s="2">
        <v>55</v>
      </c>
      <c r="AF32" s="3">
        <v>150</v>
      </c>
      <c r="AG32" s="17">
        <v>42.54</v>
      </c>
      <c r="AH32" s="4">
        <f t="shared" si="15"/>
        <v>30.119999999999997</v>
      </c>
      <c r="AI32" s="2">
        <v>55</v>
      </c>
      <c r="AK32" s="3">
        <v>130</v>
      </c>
      <c r="AL32" s="17">
        <v>162.1</v>
      </c>
      <c r="AM32" s="4">
        <f t="shared" si="5"/>
        <v>149.68</v>
      </c>
      <c r="AN32" s="2">
        <v>65</v>
      </c>
    </row>
    <row r="33" spans="2:40" ht="19.8" thickBot="1">
      <c r="B33" s="5">
        <v>170</v>
      </c>
      <c r="C33" s="6">
        <v>21.46</v>
      </c>
      <c r="D33" s="7">
        <f t="shared" si="6"/>
        <v>9.0400000000000009</v>
      </c>
      <c r="E33" s="8">
        <v>70</v>
      </c>
      <c r="G33" s="3">
        <v>220</v>
      </c>
      <c r="H33" s="17">
        <v>26.03</v>
      </c>
      <c r="I33" s="4">
        <f t="shared" si="0"/>
        <v>13.610000000000001</v>
      </c>
      <c r="J33" s="2">
        <v>55</v>
      </c>
      <c r="L33" s="3">
        <v>185</v>
      </c>
      <c r="M33" s="17">
        <v>23.17</v>
      </c>
      <c r="N33" s="4">
        <f t="shared" si="1"/>
        <v>10.750000000000002</v>
      </c>
      <c r="O33" s="2">
        <v>55</v>
      </c>
      <c r="Q33" s="3">
        <v>135</v>
      </c>
      <c r="R33" s="17">
        <v>135.43</v>
      </c>
      <c r="S33" s="4">
        <f t="shared" si="14"/>
        <v>123.01</v>
      </c>
      <c r="T33" s="2">
        <v>65</v>
      </c>
      <c r="V33" s="3">
        <v>170</v>
      </c>
      <c r="W33" s="1">
        <v>32.130000000000003</v>
      </c>
      <c r="X33" s="4">
        <f t="shared" si="7"/>
        <v>19.71</v>
      </c>
      <c r="Y33" s="2">
        <v>70</v>
      </c>
      <c r="AA33" s="3">
        <v>185</v>
      </c>
      <c r="AB33" s="17">
        <v>36.51</v>
      </c>
      <c r="AC33" s="4">
        <f t="shared" si="11"/>
        <v>24.089999999999996</v>
      </c>
      <c r="AD33" s="2">
        <v>55</v>
      </c>
      <c r="AF33" s="3">
        <v>160</v>
      </c>
      <c r="AG33" s="17">
        <v>40.799999999999997</v>
      </c>
      <c r="AH33" s="4">
        <f t="shared" si="15"/>
        <v>28.379999999999995</v>
      </c>
      <c r="AI33" s="2">
        <v>55</v>
      </c>
      <c r="AK33" s="3">
        <v>135</v>
      </c>
      <c r="AL33" s="17">
        <v>158.94999999999999</v>
      </c>
      <c r="AM33" s="4">
        <f t="shared" si="5"/>
        <v>146.53</v>
      </c>
      <c r="AN33" s="2">
        <v>65</v>
      </c>
    </row>
    <row r="34" spans="2:40">
      <c r="G34" s="3">
        <v>230</v>
      </c>
      <c r="H34" s="17">
        <v>25.9</v>
      </c>
      <c r="I34" s="4">
        <f t="shared" si="0"/>
        <v>13.479999999999999</v>
      </c>
      <c r="J34" s="2">
        <v>55</v>
      </c>
      <c r="L34" s="3">
        <v>195</v>
      </c>
      <c r="M34" s="17">
        <v>23.1</v>
      </c>
      <c r="N34" s="4">
        <f t="shared" si="1"/>
        <v>10.680000000000001</v>
      </c>
      <c r="O34" s="2">
        <v>55</v>
      </c>
      <c r="Q34" s="3">
        <v>140</v>
      </c>
      <c r="R34" s="17">
        <v>132.82</v>
      </c>
      <c r="S34" s="4">
        <f t="shared" si="14"/>
        <v>120.39999999999999</v>
      </c>
      <c r="T34" s="2">
        <v>65</v>
      </c>
      <c r="V34" s="3">
        <v>180</v>
      </c>
      <c r="W34" s="17">
        <v>31.7</v>
      </c>
      <c r="X34" s="4">
        <f t="shared" si="7"/>
        <v>19.28</v>
      </c>
      <c r="Y34" s="2">
        <v>70</v>
      </c>
      <c r="AA34" s="3">
        <v>195</v>
      </c>
      <c r="AB34" s="17">
        <v>35.29</v>
      </c>
      <c r="AC34" s="4">
        <f t="shared" si="11"/>
        <v>22.869999999999997</v>
      </c>
      <c r="AD34" s="2">
        <v>55</v>
      </c>
      <c r="AF34" s="3">
        <v>170</v>
      </c>
      <c r="AG34" s="17">
        <v>39.130000000000003</v>
      </c>
      <c r="AH34" s="4">
        <f t="shared" si="15"/>
        <v>26.71</v>
      </c>
      <c r="AI34" s="2">
        <v>55</v>
      </c>
      <c r="AK34" s="3">
        <v>140</v>
      </c>
      <c r="AL34" s="17">
        <v>155.94</v>
      </c>
      <c r="AM34" s="4">
        <f t="shared" si="5"/>
        <v>143.52000000000001</v>
      </c>
      <c r="AN34" s="2">
        <v>65</v>
      </c>
    </row>
    <row r="35" spans="2:40" ht="19.8" thickBot="1">
      <c r="G35" s="3">
        <v>240</v>
      </c>
      <c r="H35" s="1">
        <v>25.84</v>
      </c>
      <c r="I35" s="4">
        <f t="shared" si="0"/>
        <v>13.42</v>
      </c>
      <c r="J35" s="2">
        <v>55</v>
      </c>
      <c r="L35" s="5">
        <v>205</v>
      </c>
      <c r="M35" s="6">
        <v>23.07</v>
      </c>
      <c r="N35" s="7">
        <f t="shared" si="1"/>
        <v>10.65</v>
      </c>
      <c r="O35" s="8">
        <v>55</v>
      </c>
      <c r="Q35" s="23">
        <v>145</v>
      </c>
      <c r="R35" s="17">
        <v>130.1</v>
      </c>
      <c r="S35" s="4">
        <f t="shared" si="14"/>
        <v>117.67999999999999</v>
      </c>
      <c r="T35" s="2">
        <v>65</v>
      </c>
      <c r="V35" s="3">
        <v>190</v>
      </c>
      <c r="W35" s="17">
        <v>31.36</v>
      </c>
      <c r="X35" s="4">
        <f t="shared" si="7"/>
        <v>18.939999999999998</v>
      </c>
      <c r="Y35" s="2">
        <v>70</v>
      </c>
      <c r="AA35" s="3">
        <v>205</v>
      </c>
      <c r="AB35" s="17">
        <v>34.619999999999997</v>
      </c>
      <c r="AC35" s="4">
        <f t="shared" si="11"/>
        <v>22.199999999999996</v>
      </c>
      <c r="AD35" s="2">
        <v>55</v>
      </c>
      <c r="AF35" s="3">
        <v>180</v>
      </c>
      <c r="AG35" s="17">
        <v>37.82</v>
      </c>
      <c r="AH35" s="4">
        <f t="shared" ref="AH35:AH45" si="16">AG35-12.42</f>
        <v>25.4</v>
      </c>
      <c r="AI35" s="2">
        <v>55</v>
      </c>
      <c r="AK35" s="23">
        <v>145</v>
      </c>
      <c r="AL35" s="17">
        <v>152.97</v>
      </c>
      <c r="AM35" s="4">
        <f t="shared" si="5"/>
        <v>140.55000000000001</v>
      </c>
      <c r="AN35" s="2">
        <v>65</v>
      </c>
    </row>
    <row r="36" spans="2:40" ht="19.8" thickBot="1">
      <c r="G36" s="18">
        <v>250</v>
      </c>
      <c r="H36" s="19">
        <v>25.82</v>
      </c>
      <c r="I36" s="20">
        <f t="shared" si="0"/>
        <v>13.4</v>
      </c>
      <c r="J36" s="8">
        <v>55</v>
      </c>
      <c r="Q36" s="23">
        <v>150</v>
      </c>
      <c r="R36" s="17">
        <v>127.68</v>
      </c>
      <c r="S36" s="4">
        <f t="shared" si="14"/>
        <v>115.26</v>
      </c>
      <c r="T36" s="2">
        <v>65</v>
      </c>
      <c r="V36" s="3">
        <v>200</v>
      </c>
      <c r="W36" s="17">
        <v>31.25</v>
      </c>
      <c r="X36" s="4">
        <f t="shared" si="7"/>
        <v>18.829999999999998</v>
      </c>
      <c r="Y36" s="2">
        <v>70</v>
      </c>
      <c r="AA36" s="3">
        <v>215</v>
      </c>
      <c r="AB36" s="17">
        <v>34.01</v>
      </c>
      <c r="AC36" s="4">
        <f t="shared" ref="AC36:AC44" si="17">AB36-12.42</f>
        <v>21.589999999999996</v>
      </c>
      <c r="AD36" s="2">
        <v>55</v>
      </c>
      <c r="AF36" s="3">
        <v>190</v>
      </c>
      <c r="AG36" s="17">
        <v>36.69</v>
      </c>
      <c r="AH36" s="4">
        <f t="shared" si="16"/>
        <v>24.269999999999996</v>
      </c>
      <c r="AI36" s="2">
        <v>55</v>
      </c>
      <c r="AK36" s="23">
        <v>150</v>
      </c>
      <c r="AL36" s="17">
        <v>150.16</v>
      </c>
      <c r="AM36" s="4">
        <f t="shared" si="5"/>
        <v>137.74</v>
      </c>
      <c r="AN36" s="2">
        <v>65</v>
      </c>
    </row>
    <row r="37" spans="2:40">
      <c r="Q37" s="23">
        <v>155</v>
      </c>
      <c r="R37" s="17">
        <v>125.25</v>
      </c>
      <c r="S37" s="4">
        <f t="shared" si="14"/>
        <v>112.83</v>
      </c>
      <c r="T37" s="25" t="s">
        <v>13</v>
      </c>
      <c r="V37" s="3">
        <v>210</v>
      </c>
      <c r="W37" s="17">
        <v>31.16</v>
      </c>
      <c r="X37" s="4">
        <f t="shared" si="7"/>
        <v>18.740000000000002</v>
      </c>
      <c r="Y37" s="2">
        <v>70</v>
      </c>
      <c r="AA37" s="3">
        <v>225</v>
      </c>
      <c r="AB37" s="17">
        <v>33.64</v>
      </c>
      <c r="AC37" s="4">
        <f t="shared" si="17"/>
        <v>21.22</v>
      </c>
      <c r="AD37" s="2">
        <v>55</v>
      </c>
      <c r="AF37" s="3">
        <v>200</v>
      </c>
      <c r="AG37" s="17">
        <v>35.64</v>
      </c>
      <c r="AH37" s="4">
        <f t="shared" si="16"/>
        <v>23.22</v>
      </c>
      <c r="AI37" s="2">
        <v>55</v>
      </c>
      <c r="AK37" s="23">
        <v>155</v>
      </c>
      <c r="AL37" s="17">
        <v>147.47999999999999</v>
      </c>
      <c r="AM37" s="4">
        <f t="shared" si="5"/>
        <v>135.06</v>
      </c>
      <c r="AN37" s="25" t="s">
        <v>13</v>
      </c>
    </row>
    <row r="38" spans="2:40">
      <c r="Q38" s="23">
        <v>160</v>
      </c>
      <c r="R38" s="17">
        <v>123.1</v>
      </c>
      <c r="S38" s="4">
        <f t="shared" si="14"/>
        <v>110.67999999999999</v>
      </c>
      <c r="T38" s="21">
        <v>55</v>
      </c>
      <c r="V38" s="3">
        <v>220</v>
      </c>
      <c r="W38" s="17">
        <v>31.06</v>
      </c>
      <c r="X38" s="4">
        <f t="shared" si="7"/>
        <v>18.64</v>
      </c>
      <c r="Y38" s="2">
        <v>70</v>
      </c>
      <c r="AA38" s="3">
        <v>235</v>
      </c>
      <c r="AB38" s="17">
        <v>33.340000000000003</v>
      </c>
      <c r="AC38" s="4">
        <f t="shared" si="17"/>
        <v>20.92</v>
      </c>
      <c r="AD38" s="2">
        <v>55</v>
      </c>
      <c r="AF38" s="3">
        <v>210</v>
      </c>
      <c r="AG38" s="17">
        <v>35.25</v>
      </c>
      <c r="AH38" s="4">
        <f t="shared" si="16"/>
        <v>22.83</v>
      </c>
      <c r="AI38" s="2">
        <v>55</v>
      </c>
      <c r="AK38" s="23">
        <v>160</v>
      </c>
      <c r="AL38" s="17">
        <v>145</v>
      </c>
      <c r="AM38" s="4">
        <f t="shared" si="5"/>
        <v>132.58000000000001</v>
      </c>
      <c r="AN38" s="21">
        <v>55</v>
      </c>
    </row>
    <row r="39" spans="2:40" ht="19.8" thickBot="1">
      <c r="Q39" s="23">
        <v>170</v>
      </c>
      <c r="R39" s="17">
        <v>119.22</v>
      </c>
      <c r="S39" s="4">
        <f t="shared" si="14"/>
        <v>106.8</v>
      </c>
      <c r="T39" s="21">
        <v>55</v>
      </c>
      <c r="V39" s="5">
        <v>230</v>
      </c>
      <c r="W39" s="19">
        <v>31</v>
      </c>
      <c r="X39" s="7">
        <f t="shared" si="7"/>
        <v>18.579999999999998</v>
      </c>
      <c r="Y39" s="8">
        <v>70</v>
      </c>
      <c r="AA39" s="3">
        <v>245</v>
      </c>
      <c r="AB39" s="17">
        <v>33.14</v>
      </c>
      <c r="AC39" s="4">
        <f t="shared" si="17"/>
        <v>20.72</v>
      </c>
      <c r="AD39" s="2">
        <v>55</v>
      </c>
      <c r="AF39" s="3">
        <v>220</v>
      </c>
      <c r="AG39" s="17">
        <v>34.770000000000003</v>
      </c>
      <c r="AH39" s="4">
        <f t="shared" si="16"/>
        <v>22.35</v>
      </c>
      <c r="AI39" s="2">
        <v>55</v>
      </c>
      <c r="AK39" s="23">
        <v>170</v>
      </c>
      <c r="AL39" s="17">
        <v>139.91</v>
      </c>
      <c r="AM39" s="4">
        <f t="shared" si="5"/>
        <v>127.49</v>
      </c>
      <c r="AN39" s="21">
        <v>55</v>
      </c>
    </row>
    <row r="40" spans="2:40">
      <c r="Q40" s="23">
        <v>180</v>
      </c>
      <c r="R40" s="17">
        <v>115.62</v>
      </c>
      <c r="S40" s="4">
        <f t="shared" si="14"/>
        <v>103.2</v>
      </c>
      <c r="T40" s="21">
        <v>55</v>
      </c>
      <c r="V40" s="1"/>
      <c r="W40" s="1"/>
      <c r="X40" s="4"/>
      <c r="Y40" s="1"/>
      <c r="AA40" s="3">
        <v>255</v>
      </c>
      <c r="AB40" s="17">
        <v>32.979999999999997</v>
      </c>
      <c r="AC40" s="4">
        <f t="shared" si="17"/>
        <v>20.559999999999995</v>
      </c>
      <c r="AD40" s="2">
        <v>55</v>
      </c>
      <c r="AF40" s="3">
        <v>230</v>
      </c>
      <c r="AG40" s="17">
        <v>34.4</v>
      </c>
      <c r="AH40" s="4">
        <f t="shared" si="16"/>
        <v>21.979999999999997</v>
      </c>
      <c r="AI40" s="2">
        <v>55</v>
      </c>
      <c r="AK40" s="23">
        <v>180</v>
      </c>
      <c r="AL40" s="17">
        <v>135.51</v>
      </c>
      <c r="AM40" s="4">
        <f t="shared" si="5"/>
        <v>123.08999999999999</v>
      </c>
      <c r="AN40" s="21">
        <v>55</v>
      </c>
    </row>
    <row r="41" spans="2:40">
      <c r="Q41" s="23">
        <v>190</v>
      </c>
      <c r="R41" s="17">
        <v>111.92</v>
      </c>
      <c r="S41" s="4">
        <f t="shared" si="14"/>
        <v>99.5</v>
      </c>
      <c r="T41" s="21">
        <v>55</v>
      </c>
      <c r="V41" s="1"/>
      <c r="W41" s="1"/>
      <c r="X41" s="4"/>
      <c r="Y41" s="1"/>
      <c r="AA41" s="3">
        <v>265</v>
      </c>
      <c r="AB41" s="17">
        <v>32.840000000000003</v>
      </c>
      <c r="AC41" s="4">
        <f t="shared" si="17"/>
        <v>20.420000000000002</v>
      </c>
      <c r="AD41" s="2">
        <v>55</v>
      </c>
      <c r="AF41" s="3">
        <v>240</v>
      </c>
      <c r="AG41" s="17">
        <v>34.11</v>
      </c>
      <c r="AH41" s="4">
        <f t="shared" si="16"/>
        <v>21.689999999999998</v>
      </c>
      <c r="AI41" s="2">
        <v>55</v>
      </c>
      <c r="AK41" s="23">
        <v>190</v>
      </c>
      <c r="AL41" s="17">
        <v>131.22999999999999</v>
      </c>
      <c r="AM41" s="4">
        <f t="shared" si="5"/>
        <v>118.80999999999999</v>
      </c>
      <c r="AN41" s="21">
        <v>55</v>
      </c>
    </row>
    <row r="42" spans="2:40">
      <c r="Q42" s="23">
        <v>200</v>
      </c>
      <c r="R42" s="17">
        <v>108.55</v>
      </c>
      <c r="S42" s="4">
        <f t="shared" si="14"/>
        <v>96.13</v>
      </c>
      <c r="T42" s="21">
        <v>55</v>
      </c>
      <c r="V42" s="1"/>
      <c r="W42" s="1"/>
      <c r="X42" s="4"/>
      <c r="Y42" s="1"/>
      <c r="AA42" s="3">
        <v>275</v>
      </c>
      <c r="AB42" s="17">
        <v>32.729999999999997</v>
      </c>
      <c r="AC42" s="4">
        <f t="shared" si="17"/>
        <v>20.309999999999995</v>
      </c>
      <c r="AD42" s="2">
        <v>55</v>
      </c>
      <c r="AF42" s="3">
        <v>250</v>
      </c>
      <c r="AG42" s="17">
        <v>33.950000000000003</v>
      </c>
      <c r="AH42" s="4">
        <f t="shared" si="16"/>
        <v>21.53</v>
      </c>
      <c r="AI42" s="2">
        <v>55</v>
      </c>
      <c r="AK42" s="23">
        <v>200</v>
      </c>
      <c r="AL42" s="17">
        <v>127.01</v>
      </c>
      <c r="AM42" s="4">
        <f t="shared" si="5"/>
        <v>114.59</v>
      </c>
      <c r="AN42" s="21">
        <v>55</v>
      </c>
    </row>
    <row r="43" spans="2:40">
      <c r="Q43" s="23">
        <v>210</v>
      </c>
      <c r="R43" s="17">
        <v>105.22</v>
      </c>
      <c r="S43" s="4">
        <f t="shared" si="14"/>
        <v>92.8</v>
      </c>
      <c r="T43" s="21">
        <v>55</v>
      </c>
      <c r="V43" s="1"/>
      <c r="W43" s="1"/>
      <c r="X43" s="4"/>
      <c r="Y43" s="1"/>
      <c r="AA43" s="3">
        <v>285</v>
      </c>
      <c r="AB43" s="17">
        <v>32.630000000000003</v>
      </c>
      <c r="AC43" s="4">
        <f t="shared" si="17"/>
        <v>20.21</v>
      </c>
      <c r="AD43" s="2">
        <v>55</v>
      </c>
      <c r="AF43" s="3">
        <v>260</v>
      </c>
      <c r="AG43" s="17">
        <v>33.770000000000003</v>
      </c>
      <c r="AH43" s="4">
        <f t="shared" si="16"/>
        <v>21.35</v>
      </c>
      <c r="AI43" s="2">
        <v>55</v>
      </c>
      <c r="AK43" s="23">
        <v>210</v>
      </c>
      <c r="AL43" s="17">
        <v>123.39</v>
      </c>
      <c r="AM43" s="4">
        <f t="shared" si="5"/>
        <v>110.97</v>
      </c>
      <c r="AN43" s="21">
        <v>55</v>
      </c>
    </row>
    <row r="44" spans="2:40" ht="19.8" thickBot="1">
      <c r="Q44" s="23">
        <v>220</v>
      </c>
      <c r="R44" s="17">
        <v>102.01</v>
      </c>
      <c r="S44" s="4">
        <f t="shared" si="14"/>
        <v>89.59</v>
      </c>
      <c r="T44" s="21">
        <v>55</v>
      </c>
      <c r="AA44" s="5">
        <v>295</v>
      </c>
      <c r="AB44" s="19">
        <v>32.58</v>
      </c>
      <c r="AC44" s="7">
        <f t="shared" si="17"/>
        <v>20.159999999999997</v>
      </c>
      <c r="AD44" s="8">
        <v>55</v>
      </c>
      <c r="AF44" s="3">
        <v>270</v>
      </c>
      <c r="AG44" s="17">
        <v>33.64</v>
      </c>
      <c r="AH44" s="4">
        <f t="shared" si="16"/>
        <v>21.22</v>
      </c>
      <c r="AI44" s="2">
        <v>55</v>
      </c>
      <c r="AK44" s="23">
        <v>220</v>
      </c>
      <c r="AL44" s="17">
        <v>119.23</v>
      </c>
      <c r="AM44" s="4">
        <f t="shared" si="5"/>
        <v>106.81</v>
      </c>
      <c r="AN44" s="21">
        <v>55</v>
      </c>
    </row>
    <row r="45" spans="2:40">
      <c r="Q45" s="23">
        <v>230</v>
      </c>
      <c r="R45" s="17">
        <v>98.8</v>
      </c>
      <c r="S45" s="4">
        <f t="shared" si="14"/>
        <v>86.38</v>
      </c>
      <c r="T45" s="21">
        <v>55</v>
      </c>
      <c r="Z45" s="1"/>
      <c r="AA45" s="1"/>
      <c r="AB45" s="1"/>
      <c r="AC45" s="4"/>
      <c r="AD45" s="1"/>
      <c r="AE45" s="1"/>
      <c r="AF45" s="3">
        <v>280</v>
      </c>
      <c r="AG45" s="17">
        <v>33.54</v>
      </c>
      <c r="AH45" s="4">
        <f t="shared" si="16"/>
        <v>21.119999999999997</v>
      </c>
      <c r="AI45" s="2">
        <v>55</v>
      </c>
      <c r="AK45" s="23">
        <v>230</v>
      </c>
      <c r="AL45" s="17">
        <v>115.8</v>
      </c>
      <c r="AM45" s="4">
        <f t="shared" si="5"/>
        <v>103.38</v>
      </c>
      <c r="AN45" s="21">
        <v>55</v>
      </c>
    </row>
    <row r="46" spans="2:40">
      <c r="Q46" s="23">
        <v>240</v>
      </c>
      <c r="R46" s="17">
        <v>95.94</v>
      </c>
      <c r="S46" s="22">
        <f t="shared" si="14"/>
        <v>83.52</v>
      </c>
      <c r="T46" s="21">
        <v>55</v>
      </c>
      <c r="Z46" s="1"/>
      <c r="AA46" s="1"/>
      <c r="AB46" s="1"/>
      <c r="AC46" s="4"/>
      <c r="AD46" s="1"/>
      <c r="AE46" s="1"/>
      <c r="AF46" s="3">
        <v>290</v>
      </c>
      <c r="AG46" s="17">
        <v>33.450000000000003</v>
      </c>
      <c r="AH46" s="4">
        <f t="shared" ref="AH46:AH48" si="18">AG46-12.42</f>
        <v>21.03</v>
      </c>
      <c r="AI46" s="2">
        <v>55</v>
      </c>
      <c r="AK46" s="23">
        <v>240</v>
      </c>
      <c r="AL46" s="17">
        <v>113.35</v>
      </c>
      <c r="AM46" s="22">
        <f t="shared" si="5"/>
        <v>100.92999999999999</v>
      </c>
      <c r="AN46" s="21">
        <v>55</v>
      </c>
    </row>
    <row r="47" spans="2:40">
      <c r="Q47" s="40" t="s">
        <v>11</v>
      </c>
      <c r="R47" s="27"/>
      <c r="S47" s="27"/>
      <c r="T47" s="28"/>
      <c r="Z47" s="1"/>
      <c r="AA47" s="1"/>
      <c r="AB47" s="1"/>
      <c r="AC47" s="4"/>
      <c r="AD47" s="1"/>
      <c r="AE47" s="1"/>
      <c r="AF47" s="3">
        <v>300</v>
      </c>
      <c r="AG47" s="17">
        <v>33.33</v>
      </c>
      <c r="AH47" s="4">
        <f t="shared" si="18"/>
        <v>20.909999999999997</v>
      </c>
      <c r="AI47" s="2">
        <v>55</v>
      </c>
      <c r="AK47" s="23">
        <v>250</v>
      </c>
      <c r="AL47" s="17">
        <v>110.09</v>
      </c>
      <c r="AM47" s="22">
        <f t="shared" ref="AM47" si="19">AL47-12.42</f>
        <v>97.67</v>
      </c>
      <c r="AN47" s="21">
        <v>55</v>
      </c>
    </row>
    <row r="48" spans="2:40" ht="19.8" thickBot="1">
      <c r="Q48" s="23">
        <v>530</v>
      </c>
      <c r="R48" s="1">
        <v>49.13</v>
      </c>
      <c r="S48" s="22">
        <f t="shared" si="14"/>
        <v>36.71</v>
      </c>
      <c r="T48" s="21">
        <v>55</v>
      </c>
      <c r="Z48" s="1"/>
      <c r="AA48" s="1"/>
      <c r="AB48" s="1"/>
      <c r="AC48" s="4"/>
      <c r="AD48" s="1"/>
      <c r="AE48" s="1"/>
      <c r="AF48" s="5">
        <v>310</v>
      </c>
      <c r="AG48" s="19">
        <v>33.29</v>
      </c>
      <c r="AH48" s="7">
        <f t="shared" si="18"/>
        <v>20.869999999999997</v>
      </c>
      <c r="AI48" s="8">
        <v>55</v>
      </c>
      <c r="AK48" s="40" t="s">
        <v>11</v>
      </c>
      <c r="AL48" s="27"/>
      <c r="AM48" s="27"/>
      <c r="AN48" s="28"/>
    </row>
    <row r="49" spans="17:40">
      <c r="Q49" s="23">
        <v>540</v>
      </c>
      <c r="R49" s="1">
        <v>48.66</v>
      </c>
      <c r="S49" s="22">
        <f t="shared" si="14"/>
        <v>36.239999999999995</v>
      </c>
      <c r="T49" s="21">
        <v>55</v>
      </c>
      <c r="Y49" s="1"/>
      <c r="Z49" s="1"/>
      <c r="AA49" s="1"/>
      <c r="AB49" s="1"/>
      <c r="AC49" s="4"/>
      <c r="AE49" s="1"/>
      <c r="AF49" s="1"/>
      <c r="AG49" s="17"/>
      <c r="AH49" s="4"/>
      <c r="AI49" s="1"/>
      <c r="AK49" s="23">
        <v>540</v>
      </c>
      <c r="AL49" s="17">
        <v>66.739999999999995</v>
      </c>
      <c r="AM49" s="22">
        <f t="shared" ref="AM49" si="20">AL49-12.42</f>
        <v>54.319999999999993</v>
      </c>
      <c r="AN49" s="21">
        <v>55</v>
      </c>
    </row>
    <row r="50" spans="17:40" ht="19.8" thickBot="1">
      <c r="Q50" s="18">
        <v>550</v>
      </c>
      <c r="R50" s="6">
        <v>48.32</v>
      </c>
      <c r="S50" s="20">
        <f t="shared" si="14"/>
        <v>35.9</v>
      </c>
      <c r="T50" s="24">
        <v>55</v>
      </c>
      <c r="Z50" s="1"/>
      <c r="AA50" s="1"/>
      <c r="AB50" s="1"/>
      <c r="AC50" s="4"/>
      <c r="AD50" s="1"/>
      <c r="AE50" s="1"/>
      <c r="AF50" s="1"/>
      <c r="AG50" s="17"/>
      <c r="AH50" s="4"/>
      <c r="AI50" s="1"/>
      <c r="AK50" s="23">
        <v>550</v>
      </c>
      <c r="AL50" s="17">
        <v>66.44</v>
      </c>
      <c r="AM50" s="22">
        <f t="shared" ref="AM50:AM52" si="21">AL50-12.42</f>
        <v>54.019999999999996</v>
      </c>
      <c r="AN50" s="21">
        <v>55</v>
      </c>
    </row>
    <row r="51" spans="17:40">
      <c r="Z51" s="1"/>
      <c r="AA51" s="1"/>
      <c r="AB51" s="1"/>
      <c r="AC51" s="4"/>
      <c r="AD51" s="1"/>
      <c r="AE51" s="1"/>
      <c r="AF51" s="1"/>
      <c r="AG51" s="17"/>
      <c r="AH51" s="4"/>
      <c r="AI51" s="1"/>
      <c r="AK51" s="23">
        <v>560</v>
      </c>
      <c r="AL51" s="17">
        <v>66.14</v>
      </c>
      <c r="AM51" s="22">
        <f t="shared" si="21"/>
        <v>53.72</v>
      </c>
      <c r="AN51" s="21">
        <v>55</v>
      </c>
    </row>
    <row r="52" spans="17:40" ht="19.8" thickBot="1">
      <c r="Z52" s="1"/>
      <c r="AA52" s="1"/>
      <c r="AB52" s="1"/>
      <c r="AC52" s="4"/>
      <c r="AD52" s="1"/>
      <c r="AE52" s="1"/>
      <c r="AG52" s="17"/>
      <c r="AH52" s="4"/>
      <c r="AI52" s="1"/>
      <c r="AK52" s="18">
        <v>570</v>
      </c>
      <c r="AL52" s="6">
        <v>65.900000000000006</v>
      </c>
      <c r="AM52" s="20">
        <f t="shared" si="21"/>
        <v>53.480000000000004</v>
      </c>
      <c r="AN52" s="24">
        <v>55</v>
      </c>
    </row>
    <row r="53" spans="17:40">
      <c r="Z53" s="1"/>
      <c r="AA53" s="1"/>
      <c r="AB53" s="1"/>
      <c r="AC53" s="4"/>
      <c r="AD53" s="1"/>
      <c r="AE53" s="1"/>
      <c r="AF53" s="1"/>
      <c r="AG53" s="17"/>
      <c r="AH53" s="4"/>
      <c r="AI53" s="1"/>
    </row>
    <row r="54" spans="17:40">
      <c r="Z54" s="1"/>
      <c r="AA54" s="1"/>
      <c r="AB54" s="1"/>
      <c r="AC54" s="4"/>
      <c r="AD54" s="1"/>
      <c r="AE54" s="1"/>
      <c r="AF54" s="1"/>
      <c r="AG54" s="17"/>
      <c r="AH54" s="4"/>
      <c r="AI54" s="1"/>
    </row>
    <row r="55" spans="17:40">
      <c r="Z55" s="1"/>
      <c r="AA55" s="1"/>
      <c r="AB55" s="1"/>
      <c r="AC55" s="1"/>
      <c r="AD55" s="1"/>
      <c r="AE55" s="1"/>
    </row>
    <row r="56" spans="17:40">
      <c r="Z56" s="1"/>
      <c r="AA56" s="1"/>
      <c r="AB56" s="1"/>
      <c r="AC56" s="1"/>
      <c r="AD56" s="1"/>
      <c r="AE56" s="1"/>
    </row>
    <row r="57" spans="17:40">
      <c r="Z57" s="1"/>
      <c r="AA57" s="1"/>
      <c r="AB57" s="1"/>
      <c r="AC57" s="1"/>
      <c r="AD57" s="1"/>
      <c r="AE57" s="1"/>
    </row>
  </sheetData>
  <mergeCells count="29">
    <mergeCell ref="AK48:AN48"/>
    <mergeCell ref="Q47:T47"/>
    <mergeCell ref="S2:T3"/>
    <mergeCell ref="B4:E4"/>
    <mergeCell ref="G4:J4"/>
    <mergeCell ref="L4:O4"/>
    <mergeCell ref="Q4:T4"/>
    <mergeCell ref="M20:O20"/>
    <mergeCell ref="B2:C3"/>
    <mergeCell ref="D2:E3"/>
    <mergeCell ref="G2:H3"/>
    <mergeCell ref="Q2:R3"/>
    <mergeCell ref="I2:J3"/>
    <mergeCell ref="H13:J13"/>
    <mergeCell ref="L2:M3"/>
    <mergeCell ref="N2:O3"/>
    <mergeCell ref="M13:O13"/>
    <mergeCell ref="AA4:AD4"/>
    <mergeCell ref="AF4:AI4"/>
    <mergeCell ref="AK4:AN4"/>
    <mergeCell ref="V2:W3"/>
    <mergeCell ref="X2:Y3"/>
    <mergeCell ref="V4:Y4"/>
    <mergeCell ref="AA2:AB3"/>
    <mergeCell ref="AC2:AD3"/>
    <mergeCell ref="AF2:AG3"/>
    <mergeCell ref="AH2:AI3"/>
    <mergeCell ref="AK2:AL3"/>
    <mergeCell ref="AM2:AN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selection activeCell="G5" sqref="G5"/>
    </sheetView>
  </sheetViews>
  <sheetFormatPr defaultRowHeight="19.2"/>
  <sheetData>
    <row r="1" spans="1:6">
      <c r="A1" s="32" t="s">
        <v>4</v>
      </c>
      <c r="B1" s="33"/>
      <c r="C1" s="36" t="s">
        <v>5</v>
      </c>
      <c r="D1" s="37"/>
    </row>
    <row r="2" spans="1:6" ht="19.8" thickBot="1">
      <c r="A2" s="34"/>
      <c r="B2" s="35"/>
      <c r="C2" s="38"/>
      <c r="D2" s="39"/>
    </row>
    <row r="3" spans="1:6" ht="19.8" thickBot="1">
      <c r="A3" s="29" t="s">
        <v>14</v>
      </c>
      <c r="B3" s="30"/>
      <c r="C3" s="30"/>
      <c r="D3" s="31"/>
    </row>
    <row r="4" spans="1:6" ht="19.8" thickBot="1">
      <c r="A4" s="10" t="s">
        <v>1</v>
      </c>
      <c r="B4" s="11" t="s">
        <v>2</v>
      </c>
      <c r="C4" s="11" t="s">
        <v>0</v>
      </c>
      <c r="D4" s="12" t="s">
        <v>3</v>
      </c>
    </row>
    <row r="5" spans="1:6">
      <c r="A5" s="3">
        <v>0</v>
      </c>
      <c r="B5" s="1">
        <v>74.040000000000006</v>
      </c>
      <c r="C5" s="4">
        <f>B5-12.42</f>
        <v>61.620000000000005</v>
      </c>
      <c r="D5" s="9" t="s">
        <v>6</v>
      </c>
      <c r="F5">
        <v>1</v>
      </c>
    </row>
    <row r="6" spans="1:6">
      <c r="A6" s="3">
        <v>5</v>
      </c>
      <c r="B6" s="1">
        <v>67.12</v>
      </c>
      <c r="C6" s="4">
        <v>55.7</v>
      </c>
      <c r="D6" s="2">
        <v>70</v>
      </c>
      <c r="F6">
        <f t="shared" ref="F6:F32" si="0">(C5-C6)/(6.9)</f>
        <v>0.85797101449275381</v>
      </c>
    </row>
    <row r="7" spans="1:6">
      <c r="A7" s="3">
        <v>10</v>
      </c>
      <c r="B7" s="1">
        <v>62.22</v>
      </c>
      <c r="C7" s="4">
        <f>B7-12.42</f>
        <v>49.8</v>
      </c>
      <c r="D7" s="2">
        <v>70</v>
      </c>
      <c r="F7">
        <f t="shared" si="0"/>
        <v>0.85507246376811674</v>
      </c>
    </row>
    <row r="8" spans="1:6">
      <c r="A8" s="3">
        <v>15</v>
      </c>
      <c r="B8" s="1">
        <v>56.77</v>
      </c>
      <c r="C8" s="4">
        <f>B8-12.42</f>
        <v>44.35</v>
      </c>
      <c r="D8" s="2">
        <v>70</v>
      </c>
      <c r="F8">
        <f t="shared" si="0"/>
        <v>0.7898550724637674</v>
      </c>
    </row>
    <row r="9" spans="1:6">
      <c r="A9" s="3">
        <v>20</v>
      </c>
      <c r="B9" s="1">
        <v>52.17</v>
      </c>
      <c r="C9" s="4">
        <f t="shared" ref="C9:C32" si="1">B9-12.42</f>
        <v>39.75</v>
      </c>
      <c r="D9" s="2">
        <v>70</v>
      </c>
      <c r="F9">
        <f t="shared" si="0"/>
        <v>0.66666666666666685</v>
      </c>
    </row>
    <row r="10" spans="1:6">
      <c r="A10" s="3">
        <v>25</v>
      </c>
      <c r="B10" s="1">
        <v>47.66</v>
      </c>
      <c r="C10" s="4">
        <f t="shared" si="1"/>
        <v>35.239999999999995</v>
      </c>
      <c r="D10" s="2">
        <v>70</v>
      </c>
      <c r="F10">
        <f t="shared" si="0"/>
        <v>0.65362318840579781</v>
      </c>
    </row>
    <row r="11" spans="1:6">
      <c r="A11" s="3">
        <v>30</v>
      </c>
      <c r="B11" s="1">
        <v>43.78</v>
      </c>
      <c r="C11" s="4">
        <f t="shared" si="1"/>
        <v>31.36</v>
      </c>
      <c r="D11" s="2">
        <v>70</v>
      </c>
      <c r="F11">
        <f t="shared" si="0"/>
        <v>0.56231884057970949</v>
      </c>
    </row>
    <row r="12" spans="1:6">
      <c r="A12" s="3">
        <v>35</v>
      </c>
      <c r="B12" s="1">
        <v>39.74</v>
      </c>
      <c r="C12" s="4">
        <f t="shared" si="1"/>
        <v>27.32</v>
      </c>
      <c r="D12" s="2">
        <v>71</v>
      </c>
      <c r="F12">
        <f t="shared" si="0"/>
        <v>0.5855072463768114</v>
      </c>
    </row>
    <row r="13" spans="1:6">
      <c r="A13" s="3">
        <v>40</v>
      </c>
      <c r="B13" s="1">
        <v>36.770000000000003</v>
      </c>
      <c r="C13" s="4">
        <f t="shared" si="1"/>
        <v>24.35</v>
      </c>
      <c r="D13" s="2">
        <v>72.5</v>
      </c>
      <c r="F13">
        <f t="shared" si="0"/>
        <v>0.43043478260869544</v>
      </c>
    </row>
    <row r="14" spans="1:6">
      <c r="A14" s="3">
        <v>45</v>
      </c>
      <c r="B14" s="1">
        <v>33.47</v>
      </c>
      <c r="C14" s="4">
        <f t="shared" si="1"/>
        <v>21.049999999999997</v>
      </c>
      <c r="D14" s="2">
        <v>73</v>
      </c>
      <c r="F14">
        <f t="shared" si="0"/>
        <v>0.47826086956521796</v>
      </c>
    </row>
    <row r="15" spans="1:6">
      <c r="A15" s="3">
        <v>50</v>
      </c>
      <c r="B15" s="1">
        <v>31.21</v>
      </c>
      <c r="C15" s="4">
        <f t="shared" si="1"/>
        <v>18.79</v>
      </c>
      <c r="D15" s="2">
        <v>73.400000000000006</v>
      </c>
      <c r="F15">
        <f t="shared" si="0"/>
        <v>0.32753623188405767</v>
      </c>
    </row>
    <row r="16" spans="1:6">
      <c r="A16" s="3">
        <v>55</v>
      </c>
      <c r="B16" s="1">
        <v>28.92</v>
      </c>
      <c r="C16" s="4">
        <f t="shared" si="1"/>
        <v>16.5</v>
      </c>
      <c r="D16" s="2">
        <v>73.7</v>
      </c>
      <c r="F16">
        <f t="shared" si="0"/>
        <v>0.33188405797101433</v>
      </c>
    </row>
    <row r="17" spans="1:6">
      <c r="A17" s="3">
        <v>60</v>
      </c>
      <c r="B17" s="1">
        <v>27.51</v>
      </c>
      <c r="C17" s="4">
        <f t="shared" si="1"/>
        <v>15.090000000000002</v>
      </c>
      <c r="D17" s="2">
        <v>73.900000000000006</v>
      </c>
      <c r="F17">
        <f t="shared" si="0"/>
        <v>0.20434782608695629</v>
      </c>
    </row>
    <row r="18" spans="1:6">
      <c r="A18" s="3">
        <v>65</v>
      </c>
      <c r="B18" s="1">
        <v>26.08</v>
      </c>
      <c r="C18" s="4">
        <f t="shared" si="1"/>
        <v>13.659999999999998</v>
      </c>
      <c r="D18" s="2">
        <v>74.099999999999994</v>
      </c>
      <c r="F18">
        <f t="shared" si="0"/>
        <v>0.20724637681159466</v>
      </c>
    </row>
    <row r="19" spans="1:6">
      <c r="A19" s="3">
        <v>70</v>
      </c>
      <c r="B19" s="1">
        <v>24.96</v>
      </c>
      <c r="C19" s="4">
        <f t="shared" si="1"/>
        <v>12.540000000000001</v>
      </c>
      <c r="D19" s="2">
        <v>74.3</v>
      </c>
      <c r="F19">
        <f t="shared" si="0"/>
        <v>0.16231884057970977</v>
      </c>
    </row>
    <row r="20" spans="1:6">
      <c r="A20" s="3">
        <v>75</v>
      </c>
      <c r="B20" s="1">
        <v>24.03</v>
      </c>
      <c r="C20" s="4">
        <f t="shared" si="1"/>
        <v>11.610000000000001</v>
      </c>
      <c r="D20" s="2">
        <v>74.5</v>
      </c>
      <c r="F20">
        <f t="shared" si="0"/>
        <v>0.13478260869565212</v>
      </c>
    </row>
    <row r="21" spans="1:6">
      <c r="A21" s="3">
        <v>80</v>
      </c>
      <c r="B21" s="1">
        <v>23.39</v>
      </c>
      <c r="C21" s="4">
        <f t="shared" si="1"/>
        <v>10.97</v>
      </c>
      <c r="D21" s="2">
        <v>74.7</v>
      </c>
      <c r="F21">
        <f t="shared" si="0"/>
        <v>9.2753623188405881E-2</v>
      </c>
    </row>
    <row r="22" spans="1:6">
      <c r="A22" s="3">
        <v>85</v>
      </c>
      <c r="B22" s="1">
        <v>22.81</v>
      </c>
      <c r="C22" s="4">
        <f t="shared" si="1"/>
        <v>10.389999999999999</v>
      </c>
      <c r="D22" s="2">
        <v>70</v>
      </c>
      <c r="F22">
        <f t="shared" si="0"/>
        <v>8.4057971014493013E-2</v>
      </c>
    </row>
    <row r="23" spans="1:6">
      <c r="A23" s="3">
        <v>90</v>
      </c>
      <c r="B23" s="1">
        <v>22.43</v>
      </c>
      <c r="C23" s="4">
        <f t="shared" si="1"/>
        <v>10.01</v>
      </c>
      <c r="D23" s="2">
        <v>70</v>
      </c>
      <c r="F23">
        <f t="shared" si="0"/>
        <v>5.5072463768115795E-2</v>
      </c>
    </row>
    <row r="24" spans="1:6">
      <c r="A24" s="3">
        <v>95</v>
      </c>
      <c r="B24" s="1">
        <v>22.18</v>
      </c>
      <c r="C24" s="4">
        <f t="shared" si="1"/>
        <v>9.76</v>
      </c>
      <c r="D24" s="2">
        <v>70</v>
      </c>
      <c r="F24">
        <f t="shared" si="0"/>
        <v>3.6231884057971016E-2</v>
      </c>
    </row>
    <row r="25" spans="1:6">
      <c r="A25" s="3">
        <v>100</v>
      </c>
      <c r="B25" s="1">
        <v>22.01</v>
      </c>
      <c r="C25" s="4">
        <f t="shared" si="1"/>
        <v>9.5900000000000016</v>
      </c>
      <c r="D25" s="2">
        <v>70</v>
      </c>
      <c r="F25">
        <f t="shared" si="0"/>
        <v>2.463768115942002E-2</v>
      </c>
    </row>
    <row r="26" spans="1:6">
      <c r="A26" s="3">
        <v>110</v>
      </c>
      <c r="B26" s="1">
        <v>21.75</v>
      </c>
      <c r="C26" s="4">
        <f t="shared" si="1"/>
        <v>9.33</v>
      </c>
      <c r="D26" s="2">
        <v>70</v>
      </c>
      <c r="F26">
        <f t="shared" si="0"/>
        <v>3.7681159420290079E-2</v>
      </c>
    </row>
    <row r="27" spans="1:6">
      <c r="A27" s="3">
        <v>120</v>
      </c>
      <c r="B27" s="1">
        <v>21.6</v>
      </c>
      <c r="C27" s="4">
        <f t="shared" si="1"/>
        <v>9.1800000000000015</v>
      </c>
      <c r="D27" s="2">
        <v>70</v>
      </c>
      <c r="F27">
        <f t="shared" si="0"/>
        <v>2.17391304347824E-2</v>
      </c>
    </row>
    <row r="28" spans="1:6">
      <c r="A28" s="3">
        <v>130</v>
      </c>
      <c r="B28" s="1">
        <v>21.55</v>
      </c>
      <c r="C28" s="4">
        <f t="shared" si="1"/>
        <v>9.1300000000000008</v>
      </c>
      <c r="D28" s="2">
        <v>70</v>
      </c>
      <c r="F28">
        <f t="shared" si="0"/>
        <v>7.2463768115943053E-3</v>
      </c>
    </row>
    <row r="29" spans="1:6">
      <c r="A29" s="3">
        <v>140</v>
      </c>
      <c r="B29" s="1">
        <v>21.52</v>
      </c>
      <c r="C29" s="4">
        <f t="shared" si="1"/>
        <v>9.1</v>
      </c>
      <c r="D29" s="2">
        <v>70</v>
      </c>
      <c r="F29">
        <f t="shared" si="0"/>
        <v>4.3478260869566866E-3</v>
      </c>
    </row>
    <row r="30" spans="1:6">
      <c r="A30" s="3">
        <v>150</v>
      </c>
      <c r="B30" s="1">
        <v>21.49</v>
      </c>
      <c r="C30" s="4">
        <f t="shared" si="1"/>
        <v>9.0699999999999985</v>
      </c>
      <c r="D30" s="2">
        <v>70</v>
      </c>
      <c r="F30">
        <f t="shared" si="0"/>
        <v>4.3478260869566866E-3</v>
      </c>
    </row>
    <row r="31" spans="1:6">
      <c r="A31" s="3">
        <v>160</v>
      </c>
      <c r="B31" s="1">
        <v>21.47</v>
      </c>
      <c r="C31" s="4">
        <f t="shared" si="1"/>
        <v>9.0499999999999989</v>
      </c>
      <c r="D31" s="2">
        <v>70</v>
      </c>
      <c r="F31">
        <f t="shared" si="0"/>
        <v>2.8985507246376192E-3</v>
      </c>
    </row>
    <row r="32" spans="1:6" ht="19.8" thickBot="1">
      <c r="A32" s="5">
        <v>170</v>
      </c>
      <c r="B32" s="6">
        <v>21.46</v>
      </c>
      <c r="C32" s="7">
        <f t="shared" si="1"/>
        <v>9.0400000000000009</v>
      </c>
      <c r="D32" s="8">
        <v>70</v>
      </c>
      <c r="F32">
        <f t="shared" si="0"/>
        <v>1.4492753623185522E-3</v>
      </c>
    </row>
  </sheetData>
  <mergeCells count="3">
    <mergeCell ref="A1:B2"/>
    <mergeCell ref="C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SSWolf1993</dc:creator>
  <cp:lastModifiedBy>Olivera Ećim</cp:lastModifiedBy>
  <dcterms:created xsi:type="dcterms:W3CDTF">2015-06-05T18:17:20Z</dcterms:created>
  <dcterms:modified xsi:type="dcterms:W3CDTF">2024-03-22T21:49:44Z</dcterms:modified>
</cp:coreProperties>
</file>